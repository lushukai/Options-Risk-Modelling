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B6921E48-231F-41E6-84AF-17154A030D2E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7" i="1" l="1"/>
  <c r="S28" i="1"/>
  <c r="Q26" i="1" s="1"/>
  <c r="G26" i="1"/>
  <c r="R25" i="1"/>
  <c r="S26" i="1"/>
  <c r="S24" i="1"/>
  <c r="T25" i="1"/>
  <c r="T27" i="1"/>
  <c r="T29" i="1"/>
  <c r="T23" i="1"/>
  <c r="Q17" i="1"/>
  <c r="R18" i="1"/>
  <c r="R16" i="1"/>
  <c r="S17" i="1"/>
  <c r="S19" i="1"/>
  <c r="S15" i="1"/>
  <c r="T16" i="1"/>
  <c r="T18" i="1"/>
  <c r="T20" i="1"/>
  <c r="T14" i="1"/>
  <c r="O27" i="1"/>
  <c r="O29" i="1"/>
  <c r="O23" i="1"/>
  <c r="O25" i="1"/>
  <c r="N28" i="1"/>
  <c r="N24" i="1"/>
  <c r="M27" i="1"/>
  <c r="M25" i="1"/>
  <c r="N26" i="1"/>
  <c r="L17" i="1"/>
  <c r="L26" i="1"/>
  <c r="O18" i="1"/>
  <c r="O20" i="1"/>
  <c r="O14" i="1"/>
  <c r="O16" i="1"/>
  <c r="N19" i="1"/>
  <c r="N15" i="1"/>
  <c r="M18" i="1"/>
  <c r="M16" i="1"/>
  <c r="N17" i="1"/>
  <c r="G17" i="1"/>
  <c r="I28" i="1" l="1"/>
  <c r="I26" i="1"/>
  <c r="C16" i="1"/>
  <c r="I15" i="1" s="1"/>
  <c r="H16" i="1" s="1"/>
  <c r="I24" i="1"/>
  <c r="I19" i="1"/>
  <c r="I17" i="1"/>
  <c r="H18" i="1" s="1"/>
  <c r="J29" i="1"/>
  <c r="J27" i="1"/>
  <c r="J16" i="1"/>
  <c r="J14" i="1"/>
  <c r="E5" i="1"/>
  <c r="H27" i="1" l="1"/>
  <c r="O8" i="1"/>
  <c r="O10" i="1"/>
  <c r="N9" i="1"/>
  <c r="M8" i="1"/>
  <c r="N7" i="1"/>
  <c r="O6" i="1"/>
  <c r="O4" i="1"/>
  <c r="N5" i="1"/>
  <c r="M6" i="1"/>
  <c r="C14" i="1"/>
  <c r="C13" i="1"/>
  <c r="C12" i="1"/>
  <c r="C11" i="1"/>
  <c r="D5" i="1"/>
  <c r="H25" i="1" l="1"/>
</calcChain>
</file>

<file path=xl/sharedStrings.xml><?xml version="1.0" encoding="utf-8"?>
<sst xmlns="http://schemas.openxmlformats.org/spreadsheetml/2006/main" count="45" uniqueCount="39">
  <si>
    <t>Stock Price</t>
  </si>
  <si>
    <t>Strike Price</t>
  </si>
  <si>
    <t>Volatility</t>
  </si>
  <si>
    <t>Risk-free Rate</t>
  </si>
  <si>
    <t>TTM (Yrs)</t>
  </si>
  <si>
    <t>Dividend</t>
  </si>
  <si>
    <t>Call/Put</t>
  </si>
  <si>
    <t>Steps</t>
  </si>
  <si>
    <t>BAPM Price</t>
  </si>
  <si>
    <t>Here is a Binomial Tree for Illustration</t>
  </si>
  <si>
    <t>S_0</t>
  </si>
  <si>
    <r>
      <rPr>
        <b/>
        <sz val="11"/>
        <color theme="1"/>
        <rFont val="Calibri"/>
        <family val="2"/>
        <scheme val="minor"/>
      </rPr>
      <t>Three Steps</t>
    </r>
    <r>
      <rPr>
        <sz val="11"/>
        <color theme="1"/>
        <rFont val="Calibri"/>
        <family val="2"/>
        <scheme val="minor"/>
      </rPr>
      <t xml:space="preserve"> from </t>
    </r>
    <r>
      <rPr>
        <b/>
        <sz val="11"/>
        <color theme="1"/>
        <rFont val="Calibri"/>
        <family val="2"/>
        <scheme val="minor"/>
      </rPr>
      <t>S_0</t>
    </r>
    <r>
      <rPr>
        <sz val="11"/>
        <color theme="1"/>
        <rFont val="Calibri"/>
        <family val="2"/>
        <scheme val="minor"/>
      </rPr>
      <t xml:space="preserve"> to the </t>
    </r>
    <r>
      <rPr>
        <b/>
        <sz val="11"/>
        <color theme="1"/>
        <rFont val="Calibri"/>
        <family val="2"/>
        <scheme val="minor"/>
      </rPr>
      <t>Last Column</t>
    </r>
  </si>
  <si>
    <t>P</t>
  </si>
  <si>
    <t>Call</t>
  </si>
  <si>
    <t>Put</t>
  </si>
  <si>
    <t>→</t>
  </si>
  <si>
    <t>U</t>
  </si>
  <si>
    <t>D</t>
  </si>
  <si>
    <t>Consider a 3 Step Binomial Tree</t>
  </si>
  <si>
    <t>1 - P</t>
  </si>
  <si>
    <t>S*U2D1</t>
  </si>
  <si>
    <t>S*U1D1</t>
  </si>
  <si>
    <t>S*U1D2</t>
  </si>
  <si>
    <t>S*U1</t>
  </si>
  <si>
    <t>S*D1</t>
  </si>
  <si>
    <t>S*D2</t>
  </si>
  <si>
    <t>S*D3</t>
  </si>
  <si>
    <t>S*U2</t>
  </si>
  <si>
    <t>S*U3</t>
  </si>
  <si>
    <t>Dsc Rate</t>
  </si>
  <si>
    <t>Manually Computing Call (Expectation)</t>
  </si>
  <si>
    <t>Manually Computing Put (Expectation)</t>
  </si>
  <si>
    <t>Manually Computing Call (Exercise)</t>
  </si>
  <si>
    <t>Manually Computing Put (Exercise)</t>
  </si>
  <si>
    <t>&amp;</t>
  </si>
  <si>
    <t>We Take the Max(Exp &amp; Exr) &amp; Disc Back.</t>
  </si>
  <si>
    <t>↑</t>
  </si>
  <si>
    <t>Future Two Meaning (4.893008 &amp; 20.6213)</t>
  </si>
  <si>
    <r>
      <t>We take the Expectation of the Future Two because It (</t>
    </r>
    <r>
      <rPr>
        <sz val="11"/>
        <color theme="9" tint="-0.249977111117893"/>
        <rFont val="Calibri"/>
        <family val="2"/>
        <scheme val="minor"/>
      </rPr>
      <t>11.86915</t>
    </r>
    <r>
      <rPr>
        <sz val="11"/>
        <color theme="1"/>
        <rFont val="Calibri"/>
        <family val="2"/>
        <scheme val="minor"/>
      </rPr>
      <t>) is Even Higher than (</t>
    </r>
    <r>
      <rPr>
        <sz val="11"/>
        <color rgb="FFC00000"/>
        <rFont val="Calibri"/>
        <family val="2"/>
        <scheme val="minor"/>
      </rPr>
      <t xml:space="preserve">11.12754 </t>
    </r>
    <r>
      <rPr>
        <sz val="11"/>
        <rFont val="Calibri"/>
        <family val="2"/>
        <scheme val="minor"/>
      </rPr>
      <t>&amp;</t>
    </r>
    <r>
      <rPr>
        <sz val="11"/>
        <color rgb="FFC00000"/>
        <rFont val="Calibri"/>
        <family val="2"/>
        <scheme val="minor"/>
      </rPr>
      <t xml:space="preserve"> 10.90527</t>
    </r>
    <r>
      <rPr>
        <sz val="11"/>
        <color theme="1"/>
        <rFont val="Calibri"/>
        <family val="2"/>
        <scheme val="minor"/>
      </rPr>
      <t>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</si>
</sst>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1"/>
  <sheetViews>
    <sheetView tabSelected="1" workbookViewId="0">
      <selection activeCell="E7" sqref="E7"/>
    </sheetView>
  </sheetViews>
  <sheetFormatPr defaultRowHeight="14.5" x14ac:dyDescent="0.35"/>
  <cols>
    <col min="1" max="1" width="12.26953125" style="1" bestFit="1" customWidth="1"/>
    <col min="2" max="3" width="8.7265625" style="1"/>
    <col min="4" max="4" width="10.36328125" style="1" bestFit="1" customWidth="1"/>
    <col min="5" max="5" width="9.36328125" style="1" bestFit="1" customWidth="1"/>
    <col min="6" max="16384" width="8.7265625" style="1"/>
  </cols>
  <sheetData>
    <row r="1" spans="1:20" x14ac:dyDescent="0.35">
      <c r="A1" s="2" t="s">
        <v>0</v>
      </c>
      <c r="B1" s="3">
        <v>100</v>
      </c>
    </row>
    <row r="2" spans="1:20" x14ac:dyDescent="0.35">
      <c r="A2" s="2" t="s">
        <v>1</v>
      </c>
      <c r="B2" s="3">
        <v>100</v>
      </c>
    </row>
    <row r="3" spans="1:20" x14ac:dyDescent="0.35">
      <c r="A3" s="2" t="s">
        <v>2</v>
      </c>
      <c r="B3" s="3">
        <v>0.2</v>
      </c>
      <c r="D3" s="13" t="s">
        <v>8</v>
      </c>
      <c r="E3" s="13"/>
      <c r="G3" s="12" t="s">
        <v>9</v>
      </c>
      <c r="H3" s="12"/>
      <c r="I3" s="12"/>
      <c r="J3" s="12"/>
      <c r="L3" s="12" t="s">
        <v>18</v>
      </c>
      <c r="M3" s="12"/>
      <c r="N3" s="12"/>
      <c r="O3" s="12"/>
    </row>
    <row r="4" spans="1:20" x14ac:dyDescent="0.35">
      <c r="A4" s="2" t="s">
        <v>3</v>
      </c>
      <c r="B4" s="3">
        <v>0.05</v>
      </c>
      <c r="D4" s="3" t="s">
        <v>13</v>
      </c>
      <c r="E4" s="3" t="s">
        <v>14</v>
      </c>
      <c r="J4" s="1" t="s">
        <v>28</v>
      </c>
      <c r="O4" s="1">
        <f>N5*C11</f>
        <v>141.39824580805166</v>
      </c>
    </row>
    <row r="5" spans="1:20" x14ac:dyDescent="0.35">
      <c r="A5" s="2" t="s">
        <v>4</v>
      </c>
      <c r="B5" s="3">
        <v>1</v>
      </c>
      <c r="D5" s="6">
        <f>BAPM_Amr(B1,B2,B3,B4,B5,B6,B7,B8)</f>
        <v>11.043871091951113</v>
      </c>
      <c r="E5" s="6">
        <f>BAPM_Amr(B1,B2,B3,B4,B5,B6,C7,B8)</f>
        <v>6.4995598866162556</v>
      </c>
      <c r="I5" s="1" t="s">
        <v>27</v>
      </c>
      <c r="N5" s="1">
        <f>M6*C11</f>
        <v>125.9783785810849</v>
      </c>
    </row>
    <row r="6" spans="1:20" x14ac:dyDescent="0.35">
      <c r="A6" s="2" t="s">
        <v>5</v>
      </c>
      <c r="B6" s="3">
        <v>0</v>
      </c>
      <c r="H6" s="1" t="s">
        <v>23</v>
      </c>
      <c r="J6" s="1" t="s">
        <v>20</v>
      </c>
      <c r="M6" s="1">
        <f>L7*C11</f>
        <v>112.24009024456676</v>
      </c>
      <c r="O6" s="1">
        <f>N5*C12</f>
        <v>112.24009024456676</v>
      </c>
    </row>
    <row r="7" spans="1:20" x14ac:dyDescent="0.35">
      <c r="A7" s="2" t="s">
        <v>6</v>
      </c>
      <c r="B7" s="3" t="s">
        <v>13</v>
      </c>
      <c r="C7" s="1" t="s">
        <v>14</v>
      </c>
      <c r="G7" s="1" t="s">
        <v>10</v>
      </c>
      <c r="I7" s="1" t="s">
        <v>21</v>
      </c>
      <c r="K7" s="5" t="s">
        <v>15</v>
      </c>
      <c r="L7" s="1">
        <v>100</v>
      </c>
      <c r="N7" s="1">
        <f>M6*C12</f>
        <v>100</v>
      </c>
    </row>
    <row r="8" spans="1:20" x14ac:dyDescent="0.35">
      <c r="A8" s="2" t="s">
        <v>7</v>
      </c>
      <c r="B8" s="3">
        <v>3</v>
      </c>
      <c r="D8" s="10"/>
      <c r="H8" s="1" t="s">
        <v>24</v>
      </c>
      <c r="J8" s="1" t="s">
        <v>22</v>
      </c>
      <c r="M8" s="1">
        <f>L7*C12</f>
        <v>89.094725228841071</v>
      </c>
      <c r="O8" s="1">
        <f>N9*C11</f>
        <v>89.094725228841071</v>
      </c>
    </row>
    <row r="9" spans="1:20" x14ac:dyDescent="0.35">
      <c r="I9" s="1" t="s">
        <v>25</v>
      </c>
      <c r="N9" s="1">
        <f>M8*C12</f>
        <v>79.378700636026892</v>
      </c>
    </row>
    <row r="10" spans="1:20" x14ac:dyDescent="0.35">
      <c r="J10" s="1" t="s">
        <v>26</v>
      </c>
      <c r="O10" s="1">
        <f>N9*C12</f>
        <v>70.722235221892475</v>
      </c>
    </row>
    <row r="11" spans="1:20" x14ac:dyDescent="0.35">
      <c r="B11" s="2" t="s">
        <v>16</v>
      </c>
      <c r="C11" s="3">
        <f>EXP(B3*(B5/B8)^0.5)</f>
        <v>1.1224009024456676</v>
      </c>
      <c r="G11" s="11" t="s">
        <v>11</v>
      </c>
      <c r="H11" s="11"/>
      <c r="I11" s="11"/>
      <c r="J11" s="11"/>
    </row>
    <row r="12" spans="1:20" x14ac:dyDescent="0.35">
      <c r="B12" s="2" t="s">
        <v>17</v>
      </c>
      <c r="C12" s="3">
        <f>1/C11</f>
        <v>0.89094725228841065</v>
      </c>
    </row>
    <row r="13" spans="1:20" x14ac:dyDescent="0.35">
      <c r="B13" s="2" t="s">
        <v>12</v>
      </c>
      <c r="C13" s="3">
        <f>((EXP((B4-B6)*B5/B8))-C12)/(C11-C12)</f>
        <v>0.54377659636103215</v>
      </c>
      <c r="G13" s="12" t="s">
        <v>30</v>
      </c>
      <c r="H13" s="12"/>
      <c r="I13" s="12"/>
      <c r="J13" s="12"/>
      <c r="L13" s="12" t="s">
        <v>32</v>
      </c>
      <c r="M13" s="12"/>
      <c r="N13" s="12"/>
      <c r="O13" s="12"/>
      <c r="Q13" s="12" t="s">
        <v>35</v>
      </c>
      <c r="R13" s="12"/>
      <c r="S13" s="12"/>
      <c r="T13" s="12"/>
    </row>
    <row r="14" spans="1:20" x14ac:dyDescent="0.35">
      <c r="B14" s="2" t="s">
        <v>19</v>
      </c>
      <c r="C14" s="3">
        <f>1-C13</f>
        <v>0.45622340363896785</v>
      </c>
      <c r="J14" s="1">
        <f>O4-100</f>
        <v>41.398245808051655</v>
      </c>
      <c r="O14" s="7">
        <f t="shared" ref="O14" si="0">O4-100</f>
        <v>41.398245808051655</v>
      </c>
      <c r="T14" s="1">
        <f>MAX(J14,O14)</f>
        <v>41.398245808051655</v>
      </c>
    </row>
    <row r="15" spans="1:20" x14ac:dyDescent="0.35">
      <c r="I15" s="1">
        <f>(C13*J14+C14*J16)*C16</f>
        <v>27.631233198923148</v>
      </c>
      <c r="N15" s="7">
        <f t="shared" ref="N15:O15" si="1">N5-100</f>
        <v>25.978378581084897</v>
      </c>
      <c r="O15" s="7"/>
      <c r="S15" s="1">
        <f>MAX(I15,N15)</f>
        <v>27.631233198923148</v>
      </c>
      <c r="T15" s="7"/>
    </row>
    <row r="16" spans="1:20" x14ac:dyDescent="0.35">
      <c r="B16" s="4" t="s">
        <v>29</v>
      </c>
      <c r="C16" s="3">
        <f>EXP(-(B4-B6)*B5/B8)</f>
        <v>0.98347145382161749</v>
      </c>
      <c r="H16" s="1">
        <f>(C13*I15+C14*I17)*C16</f>
        <v>17.713888236329915</v>
      </c>
      <c r="J16" s="1">
        <f>O6-100</f>
        <v>12.240090244566758</v>
      </c>
      <c r="M16" s="7">
        <f t="shared" ref="M16:O19" si="2">M6-100</f>
        <v>12.240090244566758</v>
      </c>
      <c r="N16" s="7"/>
      <c r="O16" s="7">
        <f t="shared" ref="N16:O16" si="3">O6-100</f>
        <v>12.240090244566758</v>
      </c>
      <c r="R16" s="1">
        <f>MAX(H16,M16)</f>
        <v>17.713888236329915</v>
      </c>
      <c r="S16" s="7"/>
      <c r="T16" s="7">
        <f t="shared" ref="T15:T20" si="4">MAX(J16,O16)</f>
        <v>12.240090244566758</v>
      </c>
    </row>
    <row r="17" spans="7:20" x14ac:dyDescent="0.35">
      <c r="G17" s="14">
        <f>(C13*H16+C14*H18)*C16</f>
        <v>11.043871091951113</v>
      </c>
      <c r="I17" s="1">
        <f>(C13*J16+C14*J18)*C16</f>
        <v>6.5458626814547607</v>
      </c>
      <c r="K17" s="8" t="s">
        <v>34</v>
      </c>
      <c r="L17" s="1">
        <f>L7-100</f>
        <v>0</v>
      </c>
      <c r="M17" s="7"/>
      <c r="N17" s="7">
        <f t="shared" si="2"/>
        <v>0</v>
      </c>
      <c r="O17" s="7"/>
      <c r="P17" s="5" t="s">
        <v>15</v>
      </c>
      <c r="Q17" s="9">
        <f>MAX(G17,L17)</f>
        <v>11.043871091951113</v>
      </c>
      <c r="R17" s="7"/>
      <c r="S17" s="7">
        <f t="shared" ref="S16:S19" si="5">MAX(I17,N17)</f>
        <v>6.5458626814547607</v>
      </c>
      <c r="T17" s="7"/>
    </row>
    <row r="18" spans="7:20" x14ac:dyDescent="0.35">
      <c r="H18" s="1">
        <f>(C13*I17+C14*I19)*C16</f>
        <v>3.5006537850880637</v>
      </c>
      <c r="J18" s="1">
        <v>0</v>
      </c>
      <c r="M18" s="7">
        <f t="shared" si="2"/>
        <v>-10.905274771158929</v>
      </c>
      <c r="N18" s="7"/>
      <c r="O18" s="7">
        <f t="shared" si="2"/>
        <v>-10.905274771158929</v>
      </c>
      <c r="R18" s="7">
        <f t="shared" ref="R17:R18" si="6">MAX(H18,M18)</f>
        <v>3.5006537850880637</v>
      </c>
      <c r="S18" s="7"/>
      <c r="T18" s="7">
        <f t="shared" si="4"/>
        <v>0</v>
      </c>
    </row>
    <row r="19" spans="7:20" x14ac:dyDescent="0.35">
      <c r="I19" s="1">
        <f>(C13*J18+C14*J20)*C16</f>
        <v>0</v>
      </c>
      <c r="N19" s="7">
        <f t="shared" si="2"/>
        <v>-20.621299363973108</v>
      </c>
      <c r="O19" s="7"/>
      <c r="S19" s="7">
        <f t="shared" si="5"/>
        <v>0</v>
      </c>
      <c r="T19" s="7"/>
    </row>
    <row r="20" spans="7:20" x14ac:dyDescent="0.35">
      <c r="J20" s="1">
        <v>0</v>
      </c>
      <c r="N20" s="7"/>
      <c r="O20" s="7">
        <f t="shared" ref="N20:O20" si="7">O10-100</f>
        <v>-29.277764778107525</v>
      </c>
      <c r="T20" s="7">
        <f t="shared" si="4"/>
        <v>0</v>
      </c>
    </row>
    <row r="22" spans="7:20" x14ac:dyDescent="0.35">
      <c r="G22" s="12" t="s">
        <v>31</v>
      </c>
      <c r="H22" s="12"/>
      <c r="I22" s="12"/>
      <c r="J22" s="12"/>
      <c r="L22" s="12" t="s">
        <v>33</v>
      </c>
      <c r="M22" s="12"/>
      <c r="N22" s="12"/>
      <c r="O22" s="12"/>
      <c r="Q22" s="12" t="s">
        <v>35</v>
      </c>
      <c r="R22" s="12"/>
      <c r="S22" s="12"/>
      <c r="T22" s="12"/>
    </row>
    <row r="23" spans="7:20" x14ac:dyDescent="0.35">
      <c r="J23" s="1">
        <v>0</v>
      </c>
      <c r="O23" s="7">
        <f t="shared" ref="O23" si="8">100-O4</f>
        <v>-41.398245808051655</v>
      </c>
      <c r="T23" s="1">
        <f>MAX(J23,O23)</f>
        <v>0</v>
      </c>
    </row>
    <row r="24" spans="7:20" x14ac:dyDescent="0.35">
      <c r="I24" s="1">
        <f>(C13*J23+C14*J25)*C16</f>
        <v>0</v>
      </c>
      <c r="N24" s="7">
        <f t="shared" ref="N24:O24" si="9">100-N5</f>
        <v>-25.978378581084897</v>
      </c>
      <c r="O24" s="7"/>
      <c r="S24" s="1">
        <f>MAX(I24,N24)</f>
        <v>0</v>
      </c>
      <c r="T24" s="7"/>
    </row>
    <row r="25" spans="7:20" x14ac:dyDescent="0.35">
      <c r="H25" s="1">
        <f>(C13*I24+C14*I26)*C16</f>
        <v>2.1954080399637572</v>
      </c>
      <c r="J25" s="1">
        <v>0</v>
      </c>
      <c r="M25" s="7">
        <f t="shared" ref="M25:O28" si="10">100-M6</f>
        <v>-12.240090244566758</v>
      </c>
      <c r="N25" s="7"/>
      <c r="O25" s="7">
        <f t="shared" ref="N25:O25" si="11">100-O6</f>
        <v>-12.240090244566758</v>
      </c>
      <c r="R25" s="1">
        <f>MAX(H25,M25)</f>
        <v>2.1954080399637572</v>
      </c>
      <c r="S25" s="7"/>
      <c r="T25" s="7">
        <f t="shared" ref="T24:T29" si="12">MAX(J25,O25)</f>
        <v>0</v>
      </c>
    </row>
    <row r="26" spans="7:20" x14ac:dyDescent="0.35">
      <c r="G26" s="14">
        <f>(C13*H25+C14*H27)*C16</f>
        <v>6.1668135420225321</v>
      </c>
      <c r="I26" s="1">
        <f>(C13*J25+C14*J27)*C16</f>
        <v>4.8930080636165147</v>
      </c>
      <c r="K26" s="8" t="s">
        <v>34</v>
      </c>
      <c r="L26" s="1">
        <f>100-L7</f>
        <v>0</v>
      </c>
      <c r="M26" s="7"/>
      <c r="N26" s="7">
        <f t="shared" si="10"/>
        <v>0</v>
      </c>
      <c r="O26" s="7"/>
      <c r="P26" s="5" t="s">
        <v>15</v>
      </c>
      <c r="Q26" s="9">
        <f>(R25*C13+R27*C14)*C16</f>
        <v>6.4995598866162556</v>
      </c>
      <c r="S26" s="7">
        <f t="shared" ref="S25:S28" si="13">MAX(I26,N26)</f>
        <v>4.8930080636165147</v>
      </c>
      <c r="T26" s="7"/>
    </row>
    <row r="27" spans="7:20" x14ac:dyDescent="0.35">
      <c r="H27" s="1">
        <f>(C13*I26+C14*I28)*C16</f>
        <v>11.127538604447599</v>
      </c>
      <c r="J27" s="1">
        <f>100-O8</f>
        <v>10.905274771158929</v>
      </c>
      <c r="M27" s="7">
        <f t="shared" si="10"/>
        <v>10.905274771158929</v>
      </c>
      <c r="N27" s="7"/>
      <c r="O27" s="7">
        <f t="shared" si="10"/>
        <v>10.905274771158929</v>
      </c>
      <c r="R27" s="1">
        <f>(S26*C13+S28*C14)*C16</f>
        <v>11.869145867242761</v>
      </c>
      <c r="S27" s="7"/>
      <c r="T27" s="7">
        <f t="shared" si="12"/>
        <v>10.905274771158929</v>
      </c>
    </row>
    <row r="28" spans="7:20" x14ac:dyDescent="0.35">
      <c r="I28" s="1">
        <f>(C13*J27+C14*J29)*C16</f>
        <v>18.968444746134864</v>
      </c>
      <c r="N28" s="7">
        <f t="shared" si="10"/>
        <v>20.621299363973108</v>
      </c>
      <c r="O28" s="7"/>
      <c r="R28" s="15" t="s">
        <v>36</v>
      </c>
      <c r="S28" s="7">
        <f>MAX(I28,N28)</f>
        <v>20.621299363973108</v>
      </c>
      <c r="T28" s="7"/>
    </row>
    <row r="29" spans="7:20" x14ac:dyDescent="0.35">
      <c r="J29" s="1">
        <f>100-O10</f>
        <v>29.277764778107525</v>
      </c>
      <c r="O29" s="7">
        <f t="shared" ref="O29" si="14">100-O10</f>
        <v>29.277764778107525</v>
      </c>
      <c r="R29" s="16"/>
      <c r="T29" s="7">
        <f t="shared" si="12"/>
        <v>29.277764778107525</v>
      </c>
    </row>
    <row r="30" spans="7:20" x14ac:dyDescent="0.35">
      <c r="R30" s="1" t="s">
        <v>38</v>
      </c>
    </row>
    <row r="31" spans="7:20" x14ac:dyDescent="0.35">
      <c r="R31" s="1" t="s">
        <v>37</v>
      </c>
    </row>
  </sheetData>
  <mergeCells count="11">
    <mergeCell ref="Q13:T13"/>
    <mergeCell ref="Q22:T22"/>
    <mergeCell ref="R28:R29"/>
    <mergeCell ref="G11:J11"/>
    <mergeCell ref="G3:J3"/>
    <mergeCell ref="D3:E3"/>
    <mergeCell ref="L3:O3"/>
    <mergeCell ref="G13:J13"/>
    <mergeCell ref="G22:J22"/>
    <mergeCell ref="L13:O13"/>
    <mergeCell ref="L22:O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2019-07-26T16:41:38Z</dcterms:modified>
</cp:coreProperties>
</file>