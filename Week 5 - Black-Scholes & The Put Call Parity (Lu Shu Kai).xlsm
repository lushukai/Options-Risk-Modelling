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u_Kai\Desktop\Masters Academics\MSc General Finance (GGSB)\VBA &amp; Excel Files LinkedIn\"/>
    </mc:Choice>
  </mc:AlternateContent>
  <xr:revisionPtr revIDLastSave="0" documentId="13_ncr:1_{C925CC83-0C2A-4035-A904-558272DA131E}" xr6:coauthVersionLast="45" xr6:coauthVersionMax="45" xr10:uidLastSave="{00000000-0000-0000-0000-000000000000}"/>
  <bookViews>
    <workbookView xWindow="28680" yWindow="-120" windowWidth="29040" windowHeight="15840" activeTab="1" xr2:uid="{A1D700AE-5162-4CDF-B273-C1E542F44C80}"/>
  </bookViews>
  <sheets>
    <sheet name="Sheet1" sheetId="1" r:id="rId1"/>
    <sheet name="Call" sheetId="4" r:id="rId2"/>
    <sheet name="Put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" i="4" l="1"/>
  <c r="K8" i="4"/>
  <c r="K7" i="4"/>
  <c r="Q28" i="4" l="1"/>
  <c r="Q27" i="4"/>
  <c r="Q44" i="4"/>
  <c r="Q45" i="4"/>
  <c r="Q16" i="4"/>
  <c r="Q17" i="4"/>
  <c r="N58" i="4"/>
  <c r="N57" i="4"/>
  <c r="N45" i="4"/>
  <c r="N44" i="4"/>
  <c r="N36" i="4"/>
  <c r="N35" i="4"/>
  <c r="N26" i="4"/>
  <c r="N25" i="4"/>
  <c r="N17" i="4"/>
  <c r="N16" i="4"/>
  <c r="N7" i="4"/>
  <c r="N8" i="4"/>
  <c r="L7" i="4"/>
  <c r="L7" i="5" l="1"/>
  <c r="O27" i="4"/>
  <c r="P27" i="4"/>
  <c r="L36" i="4"/>
  <c r="L8" i="4"/>
  <c r="K35" i="4"/>
  <c r="O28" i="4"/>
  <c r="K36" i="4"/>
  <c r="K37" i="4"/>
  <c r="K38" i="4"/>
  <c r="K39" i="4"/>
  <c r="P45" i="4" s="1"/>
  <c r="K40" i="4"/>
  <c r="K41" i="4"/>
  <c r="K9" i="4"/>
  <c r="K10" i="4"/>
  <c r="K11" i="4"/>
  <c r="K12" i="4"/>
  <c r="K13" i="4"/>
  <c r="L58" i="4"/>
  <c r="M58" i="4"/>
  <c r="M45" i="4"/>
  <c r="L45" i="4"/>
  <c r="L26" i="4"/>
  <c r="L17" i="4"/>
  <c r="O16" i="4"/>
  <c r="I8" i="4"/>
  <c r="M26" i="4"/>
  <c r="M17" i="4"/>
  <c r="P16" i="5"/>
  <c r="O16" i="5"/>
  <c r="P16" i="4"/>
  <c r="I9" i="4"/>
  <c r="I10" i="4"/>
  <c r="I11" i="4"/>
  <c r="I12" i="4"/>
  <c r="I13" i="4"/>
  <c r="I8" i="5"/>
  <c r="I9" i="5"/>
  <c r="I10" i="5"/>
  <c r="I11" i="5"/>
  <c r="I12" i="5"/>
  <c r="I13" i="5"/>
  <c r="I7" i="5"/>
  <c r="L29" i="5"/>
  <c r="M29" i="5"/>
  <c r="M16" i="5"/>
  <c r="L16" i="5"/>
  <c r="M25" i="4"/>
  <c r="L25" i="4"/>
  <c r="M16" i="4"/>
  <c r="L16" i="4"/>
  <c r="C10" i="5"/>
  <c r="H31" i="5"/>
  <c r="H30" i="5"/>
  <c r="H29" i="5"/>
  <c r="H26" i="5"/>
  <c r="H23" i="5"/>
  <c r="H24" i="5"/>
  <c r="H25" i="5"/>
  <c r="H16" i="5"/>
  <c r="H22" i="5"/>
  <c r="H21" i="5"/>
  <c r="H20" i="5"/>
  <c r="H19" i="5"/>
  <c r="H18" i="5"/>
  <c r="H17" i="5"/>
  <c r="H10" i="5"/>
  <c r="F10" i="5"/>
  <c r="F16" i="5"/>
  <c r="J13" i="5"/>
  <c r="C13" i="5" s="1"/>
  <c r="F13" i="5" s="1"/>
  <c r="J12" i="5"/>
  <c r="C12" i="5" s="1"/>
  <c r="F12" i="5" s="1"/>
  <c r="J11" i="5"/>
  <c r="C11" i="5" s="1"/>
  <c r="J9" i="5"/>
  <c r="C9" i="5" s="1"/>
  <c r="F9" i="5" s="1"/>
  <c r="J8" i="5"/>
  <c r="C8" i="5" s="1"/>
  <c r="F8" i="5" s="1"/>
  <c r="J7" i="5"/>
  <c r="F16" i="4"/>
  <c r="J12" i="4"/>
  <c r="C12" i="4" s="1"/>
  <c r="J13" i="4"/>
  <c r="C13" i="4" s="1"/>
  <c r="J11" i="4"/>
  <c r="C11" i="4" s="1"/>
  <c r="J9" i="4"/>
  <c r="C9" i="4" s="1"/>
  <c r="J7" i="4"/>
  <c r="C7" i="4" s="1"/>
  <c r="J8" i="4"/>
  <c r="C8" i="4" s="1"/>
  <c r="H8" i="4" s="1"/>
  <c r="F10" i="4"/>
  <c r="H10" i="4"/>
  <c r="H26" i="4"/>
  <c r="H27" i="4"/>
  <c r="H25" i="4"/>
  <c r="F25" i="4"/>
  <c r="H17" i="4"/>
  <c r="H18" i="4"/>
  <c r="H19" i="4"/>
  <c r="H20" i="4"/>
  <c r="H21" i="4"/>
  <c r="H22" i="4"/>
  <c r="H16" i="4"/>
  <c r="F29" i="5"/>
  <c r="F26" i="5"/>
  <c r="F17" i="5"/>
  <c r="F18" i="5"/>
  <c r="F19" i="5"/>
  <c r="F20" i="5"/>
  <c r="F21" i="5"/>
  <c r="F22" i="5"/>
  <c r="F23" i="5"/>
  <c r="F24" i="5"/>
  <c r="F25" i="5"/>
  <c r="D31" i="5"/>
  <c r="D30" i="5"/>
  <c r="D29" i="5"/>
  <c r="D8" i="5"/>
  <c r="D9" i="5" s="1"/>
  <c r="D10" i="5" s="1"/>
  <c r="D11" i="5" s="1"/>
  <c r="D12" i="5" s="1"/>
  <c r="D13" i="5" s="1"/>
  <c r="B5" i="5"/>
  <c r="F26" i="4"/>
  <c r="F27" i="4"/>
  <c r="F17" i="4"/>
  <c r="F18" i="4"/>
  <c r="F19" i="4"/>
  <c r="F20" i="4"/>
  <c r="F21" i="4"/>
  <c r="F22" i="4"/>
  <c r="D27" i="4"/>
  <c r="D26" i="4"/>
  <c r="D25" i="4"/>
  <c r="D9" i="4"/>
  <c r="D10" i="4" s="1"/>
  <c r="D11" i="4" s="1"/>
  <c r="D12" i="4" s="1"/>
  <c r="D13" i="4" s="1"/>
  <c r="D8" i="4"/>
  <c r="B5" i="4"/>
  <c r="E17" i="5" a="1"/>
  <c r="E19" i="5" a="1"/>
  <c r="E21" i="5" a="1"/>
  <c r="E23" i="5" a="1"/>
  <c r="E25" i="5" a="1"/>
  <c r="E18" i="5" a="1"/>
  <c r="E22" i="5" a="1"/>
  <c r="E20" i="5" a="1"/>
  <c r="E24" i="5" a="1"/>
  <c r="E26" i="5" a="1"/>
  <c r="E16" i="5" a="1"/>
  <c r="E11" i="5" a="1"/>
  <c r="E7" i="5" a="1"/>
  <c r="E29" i="5" a="1"/>
  <c r="E13" i="5" a="1"/>
  <c r="E10" i="5" a="1"/>
  <c r="E12" i="5" a="1"/>
  <c r="E8" i="5" a="1"/>
  <c r="E31" i="5" a="1"/>
  <c r="E30" i="5" a="1"/>
  <c r="E9" i="5" a="1"/>
  <c r="E25" i="4" a="1"/>
  <c r="E26" i="4" a="1"/>
  <c r="E27" i="4" a="1"/>
  <c r="E17" i="4" a="1"/>
  <c r="E19" i="4" a="1"/>
  <c r="E21" i="4" a="1"/>
  <c r="E18" i="4" a="1"/>
  <c r="E20" i="4" a="1"/>
  <c r="E22" i="4" a="1"/>
  <c r="E16" i="4" a="1"/>
  <c r="E9" i="4" a="1"/>
  <c r="E11" i="4" a="1"/>
  <c r="E13" i="4" a="1"/>
  <c r="E8" i="4" a="1"/>
  <c r="E10" i="4" a="1"/>
  <c r="E12" i="4" a="1"/>
  <c r="E7" i="4" a="1"/>
  <c r="E6" i="1"/>
  <c r="F7" i="4" l="1"/>
  <c r="H7" i="4"/>
  <c r="P28" i="4"/>
  <c r="O45" i="4"/>
  <c r="M36" i="4"/>
  <c r="M7" i="4"/>
  <c r="M7" i="5"/>
  <c r="C7" i="5"/>
  <c r="F11" i="5"/>
  <c r="H11" i="5"/>
  <c r="H8" i="5"/>
  <c r="H12" i="5"/>
  <c r="H9" i="5"/>
  <c r="H13" i="5"/>
  <c r="H13" i="4"/>
  <c r="F13" i="4"/>
  <c r="H12" i="4"/>
  <c r="F12" i="4"/>
  <c r="F11" i="4"/>
  <c r="H11" i="4"/>
  <c r="F8" i="4"/>
  <c r="F9" i="4"/>
  <c r="H9" i="4"/>
  <c r="E26" i="5"/>
  <c r="E24" i="5"/>
  <c r="E20" i="5"/>
  <c r="E22" i="5"/>
  <c r="E18" i="5"/>
  <c r="E25" i="5"/>
  <c r="E23" i="5"/>
  <c r="E21" i="5"/>
  <c r="E19" i="5"/>
  <c r="E17" i="5"/>
  <c r="E16" i="5"/>
  <c r="E9" i="5"/>
  <c r="E30" i="5"/>
  <c r="F30" i="5" s="1"/>
  <c r="E31" i="5"/>
  <c r="F31" i="5" s="1"/>
  <c r="E8" i="5"/>
  <c r="E12" i="5"/>
  <c r="E10" i="5"/>
  <c r="E13" i="5"/>
  <c r="E29" i="5"/>
  <c r="E7" i="5"/>
  <c r="E11" i="5"/>
  <c r="E25" i="4"/>
  <c r="E27" i="4"/>
  <c r="E26" i="4"/>
  <c r="E22" i="4"/>
  <c r="E20" i="4"/>
  <c r="E18" i="4"/>
  <c r="E21" i="4"/>
  <c r="E19" i="4"/>
  <c r="E17" i="4"/>
  <c r="E16" i="4"/>
  <c r="E12" i="4"/>
  <c r="E10" i="4"/>
  <c r="E8" i="4"/>
  <c r="E13" i="4"/>
  <c r="E11" i="4"/>
  <c r="E9" i="4"/>
  <c r="E7" i="4"/>
  <c r="E12" i="1"/>
  <c r="H6" i="1"/>
  <c r="J6" i="1" s="1"/>
  <c r="E7" i="1"/>
  <c r="P17" i="4" l="1"/>
  <c r="O17" i="4"/>
  <c r="M8" i="4"/>
  <c r="F7" i="5"/>
  <c r="H7" i="5"/>
  <c r="I6" i="1"/>
  <c r="M6" i="1"/>
  <c r="D19" i="1"/>
  <c r="F19" i="1" s="1"/>
  <c r="N6" i="1" l="1"/>
  <c r="O6" i="1" s="1"/>
  <c r="K6" i="1"/>
  <c r="L6" i="1" s="1"/>
  <c r="D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<sst xmlns="http://schemas.openxmlformats.org/spreadsheetml/2006/main" count="101" uniqueCount="37">
  <si>
    <t>Stock Price</t>
  </si>
  <si>
    <t>Strike Price</t>
  </si>
  <si>
    <t>Volatility</t>
  </si>
  <si>
    <t>Risk-free Rate</t>
  </si>
  <si>
    <t>TTM (Yrs)</t>
  </si>
  <si>
    <t>Dividend</t>
  </si>
  <si>
    <t>Put</t>
  </si>
  <si>
    <t>Call</t>
  </si>
  <si>
    <t>European Options</t>
  </si>
  <si>
    <t>And here we have the longgg way…</t>
  </si>
  <si>
    <t>d1</t>
  </si>
  <si>
    <t>d2</t>
  </si>
  <si>
    <t>Nd1</t>
  </si>
  <si>
    <t>Nd2</t>
  </si>
  <si>
    <t>N(-d1)</t>
  </si>
  <si>
    <t>N(-d2)</t>
  </si>
  <si>
    <t>We have the Put-Call Parity</t>
  </si>
  <si>
    <t>C - P</t>
  </si>
  <si>
    <t>S_0 - Kexp(-rT)</t>
  </si>
  <si>
    <t>↓</t>
  </si>
  <si>
    <t>Which another useful property to price options.</t>
  </si>
  <si>
    <t>&amp; by the PC Parity</t>
  </si>
  <si>
    <t>→</t>
  </si>
  <si>
    <t>And Tadaa! We have deduced the Put Price.</t>
  </si>
  <si>
    <t>Say we have a Call ($10.45058) and want to deduce Put Price of similar option characteristics.</t>
  </si>
  <si>
    <t>Strike</t>
  </si>
  <si>
    <t>S</t>
  </si>
  <si>
    <t>K</t>
  </si>
  <si>
    <t>r</t>
  </si>
  <si>
    <t>sigma</t>
  </si>
  <si>
    <t>T</t>
  </si>
  <si>
    <t>Stock</t>
  </si>
  <si>
    <t>TTM</t>
  </si>
  <si>
    <t>Ex</t>
  </si>
  <si>
    <t>BS Diff</t>
  </si>
  <si>
    <t>QM</t>
  </si>
  <si>
    <t>QM 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</si>
</sst>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Font="1" applyAlignment="1"/>
    <xf numFmtId="0" fontId="1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10" fontId="0" fillId="0" borderId="1" xfId="0" applyNumberFormat="1" applyFont="1" applyBorder="1" applyAlignment="1">
      <alignment horizontal="center"/>
    </xf>
    <xf numFmtId="2" fontId="0" fillId="2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1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Call!$D$16:$D$22</c:f>
              <c:numCache>
                <c:formatCode>General</c:formatCode>
                <c:ptCount val="7"/>
                <c:pt idx="0">
                  <c:v>2550</c:v>
                </c:pt>
                <c:pt idx="1">
                  <c:v>2625</c:v>
                </c:pt>
                <c:pt idx="2">
                  <c:v>2725</c:v>
                </c:pt>
                <c:pt idx="3">
                  <c:v>2850</c:v>
                </c:pt>
                <c:pt idx="4">
                  <c:v>2925</c:v>
                </c:pt>
                <c:pt idx="5">
                  <c:v>3000</c:v>
                </c:pt>
                <c:pt idx="6">
                  <c:v>3100</c:v>
                </c:pt>
              </c:numCache>
            </c:numRef>
          </c:xVal>
          <c:yVal>
            <c:numRef>
              <c:f>Call!$E$16:$E$22</c:f>
              <c:numCache>
                <c:formatCode>0.00</c:formatCode>
                <c:ptCount val="7"/>
                <c:pt idx="0">
                  <c:v>379.11587883901097</c:v>
                </c:pt>
                <c:pt idx="1">
                  <c:v>324.69140669751641</c:v>
                </c:pt>
                <c:pt idx="2">
                  <c:v>259.64900660776448</c:v>
                </c:pt>
                <c:pt idx="3">
                  <c:v>191.04149561021472</c:v>
                </c:pt>
                <c:pt idx="4">
                  <c:v>156.6249099026993</c:v>
                </c:pt>
                <c:pt idx="5">
                  <c:v>127.03878274682438</c:v>
                </c:pt>
                <c:pt idx="6">
                  <c:v>94.541605867720023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D-4432-B08B-7C2FDD9B4C5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Call!$D$16:$D$22</c:f>
              <c:numCache>
                <c:formatCode>General</c:formatCode>
                <c:ptCount val="7"/>
                <c:pt idx="0">
                  <c:v>2550</c:v>
                </c:pt>
                <c:pt idx="1">
                  <c:v>2625</c:v>
                </c:pt>
                <c:pt idx="2">
                  <c:v>2725</c:v>
                </c:pt>
                <c:pt idx="3">
                  <c:v>2850</c:v>
                </c:pt>
                <c:pt idx="4">
                  <c:v>2925</c:v>
                </c:pt>
                <c:pt idx="5">
                  <c:v>3000</c:v>
                </c:pt>
                <c:pt idx="6">
                  <c:v>3100</c:v>
                </c:pt>
              </c:numCache>
            </c:numRef>
          </c:xVal>
          <c:yVal>
            <c:numRef>
              <c:f>Call!$G$16:$G$22</c:f>
              <c:numCache>
                <c:formatCode>General</c:formatCode>
                <c:ptCount val="7"/>
                <c:pt idx="0" formatCode="0.00">
                  <c:v>421.19</c:v>
                </c:pt>
                <c:pt idx="1">
                  <c:v>333.19</c:v>
                </c:pt>
                <c:pt idx="2">
                  <c:v>281.2</c:v>
                </c:pt>
                <c:pt idx="3">
                  <c:v>256.77999999999997</c:v>
                </c:pt>
                <c:pt idx="4">
                  <c:v>216</c:v>
                </c:pt>
                <c:pt idx="5">
                  <c:v>189.42</c:v>
                </c:pt>
                <c:pt idx="6">
                  <c:v>175.32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AD-4432-B08B-7C2FDD9B4C5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Call!$D$16:$D$22</c:f>
              <c:numCache>
                <c:formatCode>General</c:formatCode>
                <c:ptCount val="7"/>
                <c:pt idx="0">
                  <c:v>2550</c:v>
                </c:pt>
                <c:pt idx="1">
                  <c:v>2625</c:v>
                </c:pt>
                <c:pt idx="2">
                  <c:v>2725</c:v>
                </c:pt>
                <c:pt idx="3">
                  <c:v>2850</c:v>
                </c:pt>
                <c:pt idx="4">
                  <c:v>2925</c:v>
                </c:pt>
                <c:pt idx="5">
                  <c:v>3000</c:v>
                </c:pt>
                <c:pt idx="6">
                  <c:v>3100</c:v>
                </c:pt>
              </c:numCache>
            </c:numRef>
          </c:xVal>
          <c:yVal>
            <c:numRef>
              <c:f>Call!$C$16:$C$22</c:f>
              <c:numCache>
                <c:formatCode>General</c:formatCode>
                <c:ptCount val="7"/>
                <c:pt idx="0">
                  <c:v>500.93</c:v>
                </c:pt>
                <c:pt idx="1">
                  <c:v>374.18</c:v>
                </c:pt>
                <c:pt idx="2">
                  <c:v>326.77</c:v>
                </c:pt>
                <c:pt idx="3">
                  <c:v>338.49</c:v>
                </c:pt>
                <c:pt idx="4">
                  <c:v>309.37</c:v>
                </c:pt>
                <c:pt idx="5">
                  <c:v>271.72000000000003</c:v>
                </c:pt>
                <c:pt idx="6">
                  <c:v>208.82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AAD-4432-B08B-7C2FDD9B4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200272"/>
        <c:axId val="631202896"/>
      </c:scatterChart>
      <c:valAx>
        <c:axId val="631200272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202896"/>
        <c:crosses val="autoZero"/>
        <c:crossBetween val="midCat"/>
      </c:valAx>
      <c:valAx>
        <c:axId val="63120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200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Call!$D$25:$D$27</c:f>
              <c:numCache>
                <c:formatCode>General</c:formatCode>
                <c:ptCount val="3"/>
                <c:pt idx="0">
                  <c:v>0.16666666666666666</c:v>
                </c:pt>
                <c:pt idx="1">
                  <c:v>0.67460317460317465</c:v>
                </c:pt>
                <c:pt idx="2">
                  <c:v>1.6865079365079365</c:v>
                </c:pt>
              </c:numCache>
            </c:numRef>
          </c:xVal>
          <c:yVal>
            <c:numRef>
              <c:f>Call!$E$25:$E$27</c:f>
              <c:numCache>
                <c:formatCode>0.00</c:formatCode>
                <c:ptCount val="3"/>
                <c:pt idx="0">
                  <c:v>191.04149561021472</c:v>
                </c:pt>
                <c:pt idx="1">
                  <c:v>371.16705343091962</c:v>
                </c:pt>
                <c:pt idx="2">
                  <c:v>577.55170683262031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FF-49C3-888B-A3E3DF9A894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Call!$D$25:$D$27</c:f>
              <c:numCache>
                <c:formatCode>General</c:formatCode>
                <c:ptCount val="3"/>
                <c:pt idx="0">
                  <c:v>0.16666666666666666</c:v>
                </c:pt>
                <c:pt idx="1">
                  <c:v>0.67460317460317465</c:v>
                </c:pt>
                <c:pt idx="2">
                  <c:v>1.6865079365079365</c:v>
                </c:pt>
              </c:numCache>
            </c:numRef>
          </c:xVal>
          <c:yVal>
            <c:numRef>
              <c:f>Call!$G$25:$G$27</c:f>
              <c:numCache>
                <c:formatCode>General</c:formatCode>
                <c:ptCount val="3"/>
                <c:pt idx="0">
                  <c:v>173.5</c:v>
                </c:pt>
                <c:pt idx="1">
                  <c:v>321.56</c:v>
                </c:pt>
                <c:pt idx="2">
                  <c:v>467.88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FF-49C3-888B-A3E3DF9A894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Call!$D$25:$D$27</c:f>
              <c:numCache>
                <c:formatCode>General</c:formatCode>
                <c:ptCount val="3"/>
                <c:pt idx="0">
                  <c:v>0.16666666666666666</c:v>
                </c:pt>
                <c:pt idx="1">
                  <c:v>0.67460317460317465</c:v>
                </c:pt>
                <c:pt idx="2">
                  <c:v>1.6865079365079365</c:v>
                </c:pt>
              </c:numCache>
            </c:numRef>
          </c:xVal>
          <c:yVal>
            <c:numRef>
              <c:f>Call!$C$25:$C$27</c:f>
              <c:numCache>
                <c:formatCode>General</c:formatCode>
                <c:ptCount val="3"/>
                <c:pt idx="0">
                  <c:v>163.68</c:v>
                </c:pt>
                <c:pt idx="1">
                  <c:v>282.70999999999998</c:v>
                </c:pt>
                <c:pt idx="2">
                  <c:v>329.3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FF-49C3-888B-A3E3DF9A8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606136"/>
        <c:axId val="432857704"/>
      </c:scatterChart>
      <c:valAx>
        <c:axId val="316606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857704"/>
        <c:crosses val="autoZero"/>
        <c:crossBetween val="midCat"/>
      </c:valAx>
      <c:valAx>
        <c:axId val="43285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606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Call!$D$7:$D$13</c:f>
              <c:numCache>
                <c:formatCode>General</c:formatCode>
                <c:ptCount val="7"/>
                <c:pt idx="0">
                  <c:v>2725</c:v>
                </c:pt>
                <c:pt idx="1">
                  <c:v>2775</c:v>
                </c:pt>
                <c:pt idx="2">
                  <c:v>2825</c:v>
                </c:pt>
                <c:pt idx="3">
                  <c:v>2875</c:v>
                </c:pt>
                <c:pt idx="4">
                  <c:v>2925</c:v>
                </c:pt>
                <c:pt idx="5">
                  <c:v>2975</c:v>
                </c:pt>
                <c:pt idx="6">
                  <c:v>3025</c:v>
                </c:pt>
              </c:numCache>
            </c:numRef>
          </c:xVal>
          <c:yVal>
            <c:numRef>
              <c:f>Call!$E$7:$E$13</c:f>
              <c:numCache>
                <c:formatCode>0.00</c:formatCode>
                <c:ptCount val="7"/>
                <c:pt idx="0">
                  <c:v>118.05737120340416</c:v>
                </c:pt>
                <c:pt idx="1">
                  <c:v>140.10036126861269</c:v>
                </c:pt>
                <c:pt idx="2">
                  <c:v>164.43900031521935</c:v>
                </c:pt>
                <c:pt idx="3">
                  <c:v>191.04149561021472</c:v>
                </c:pt>
                <c:pt idx="4">
                  <c:v>219.84868288132861</c:v>
                </c:pt>
                <c:pt idx="5">
                  <c:v>250.7775716238898</c:v>
                </c:pt>
                <c:pt idx="6">
                  <c:v>283.72539426494745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FA-46BD-8037-33BD6FEB296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Call!$D$7:$D$13</c:f>
              <c:numCache>
                <c:formatCode>General</c:formatCode>
                <c:ptCount val="7"/>
                <c:pt idx="0">
                  <c:v>2725</c:v>
                </c:pt>
                <c:pt idx="1">
                  <c:v>2775</c:v>
                </c:pt>
                <c:pt idx="2">
                  <c:v>2825</c:v>
                </c:pt>
                <c:pt idx="3">
                  <c:v>2875</c:v>
                </c:pt>
                <c:pt idx="4">
                  <c:v>2925</c:v>
                </c:pt>
                <c:pt idx="5">
                  <c:v>2975</c:v>
                </c:pt>
                <c:pt idx="6">
                  <c:v>3025</c:v>
                </c:pt>
              </c:numCache>
            </c:numRef>
          </c:xVal>
          <c:yVal>
            <c:numRef>
              <c:f>Call!$G$7:$G$13</c:f>
              <c:numCache>
                <c:formatCode>General</c:formatCode>
                <c:ptCount val="7"/>
                <c:pt idx="0">
                  <c:v>69.430000000000007</c:v>
                </c:pt>
                <c:pt idx="1">
                  <c:v>100.88</c:v>
                </c:pt>
                <c:pt idx="2">
                  <c:v>121.46</c:v>
                </c:pt>
                <c:pt idx="3">
                  <c:v>166</c:v>
                </c:pt>
                <c:pt idx="4">
                  <c:v>201.77</c:v>
                </c:pt>
                <c:pt idx="5">
                  <c:v>234.21</c:v>
                </c:pt>
                <c:pt idx="6">
                  <c:v>281.32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FA-46BD-8037-33BD6FEB296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Call!$D$7:$D$13</c:f>
              <c:numCache>
                <c:formatCode>General</c:formatCode>
                <c:ptCount val="7"/>
                <c:pt idx="0">
                  <c:v>2725</c:v>
                </c:pt>
                <c:pt idx="1">
                  <c:v>2775</c:v>
                </c:pt>
                <c:pt idx="2">
                  <c:v>2825</c:v>
                </c:pt>
                <c:pt idx="3">
                  <c:v>2875</c:v>
                </c:pt>
                <c:pt idx="4">
                  <c:v>2925</c:v>
                </c:pt>
                <c:pt idx="5">
                  <c:v>2975</c:v>
                </c:pt>
                <c:pt idx="6">
                  <c:v>3025</c:v>
                </c:pt>
              </c:numCache>
            </c:numRef>
          </c:xVal>
          <c:yVal>
            <c:numRef>
              <c:f>Call!$B$7:$B$13</c:f>
              <c:numCache>
                <c:formatCode>General</c:formatCode>
                <c:ptCount val="7"/>
                <c:pt idx="0">
                  <c:v>15.32</c:v>
                </c:pt>
                <c:pt idx="1">
                  <c:v>49.36</c:v>
                </c:pt>
                <c:pt idx="2">
                  <c:v>97.9</c:v>
                </c:pt>
                <c:pt idx="3">
                  <c:v>156.18</c:v>
                </c:pt>
                <c:pt idx="4">
                  <c:v>214.55</c:v>
                </c:pt>
                <c:pt idx="5">
                  <c:v>264.01</c:v>
                </c:pt>
                <c:pt idx="6">
                  <c:v>288.48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FA-46BD-8037-33BD6FEB2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191088"/>
        <c:axId val="631194696"/>
      </c:scatterChart>
      <c:valAx>
        <c:axId val="631191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194696"/>
        <c:crosses val="autoZero"/>
        <c:crossBetween val="midCat"/>
      </c:valAx>
      <c:valAx>
        <c:axId val="63119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191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Put!$D$7:$D$13</c:f>
              <c:numCache>
                <c:formatCode>General</c:formatCode>
                <c:ptCount val="7"/>
                <c:pt idx="0">
                  <c:v>2725</c:v>
                </c:pt>
                <c:pt idx="1">
                  <c:v>2775</c:v>
                </c:pt>
                <c:pt idx="2">
                  <c:v>2825</c:v>
                </c:pt>
                <c:pt idx="3">
                  <c:v>2875</c:v>
                </c:pt>
                <c:pt idx="4">
                  <c:v>2925</c:v>
                </c:pt>
                <c:pt idx="5">
                  <c:v>2975</c:v>
                </c:pt>
                <c:pt idx="6">
                  <c:v>3025</c:v>
                </c:pt>
              </c:numCache>
            </c:numRef>
          </c:xVal>
          <c:yVal>
            <c:numRef>
              <c:f>Put!$E$7:$E$13</c:f>
              <c:numCache>
                <c:formatCode>0.00</c:formatCode>
                <c:ptCount val="7"/>
                <c:pt idx="0">
                  <c:v>258.16768019247002</c:v>
                </c:pt>
                <c:pt idx="1">
                  <c:v>229.11022545200262</c:v>
                </c:pt>
                <c:pt idx="2">
                  <c:v>202.33315516405059</c:v>
                </c:pt>
                <c:pt idx="3">
                  <c:v>177.81936330005124</c:v>
                </c:pt>
                <c:pt idx="4">
                  <c:v>155.52364077945936</c:v>
                </c:pt>
                <c:pt idx="5">
                  <c:v>135.3757620576207</c:v>
                </c:pt>
                <c:pt idx="6">
                  <c:v>117.28418324845961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67-4223-A29A-DF80E36F144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Put!$D$7:$D$13</c:f>
              <c:numCache>
                <c:formatCode>General</c:formatCode>
                <c:ptCount val="7"/>
                <c:pt idx="0">
                  <c:v>2725</c:v>
                </c:pt>
                <c:pt idx="1">
                  <c:v>2775</c:v>
                </c:pt>
                <c:pt idx="2">
                  <c:v>2825</c:v>
                </c:pt>
                <c:pt idx="3">
                  <c:v>2875</c:v>
                </c:pt>
                <c:pt idx="4">
                  <c:v>2925</c:v>
                </c:pt>
                <c:pt idx="5">
                  <c:v>2975</c:v>
                </c:pt>
                <c:pt idx="6">
                  <c:v>3025</c:v>
                </c:pt>
              </c:numCache>
            </c:numRef>
          </c:xVal>
          <c:yVal>
            <c:numRef>
              <c:f>Put!$G$7:$G$13</c:f>
              <c:numCache>
                <c:formatCode>General</c:formatCode>
                <c:ptCount val="7"/>
                <c:pt idx="0">
                  <c:v>169.99</c:v>
                </c:pt>
                <c:pt idx="1">
                  <c:v>145.24</c:v>
                </c:pt>
                <c:pt idx="2">
                  <c:v>152.31</c:v>
                </c:pt>
                <c:pt idx="3">
                  <c:v>160.1</c:v>
                </c:pt>
                <c:pt idx="4">
                  <c:v>184.32</c:v>
                </c:pt>
                <c:pt idx="5">
                  <c:v>180.14</c:v>
                </c:pt>
                <c:pt idx="6">
                  <c:v>190.78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67-4223-A29A-DF80E36F144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Put!$D$7:$D$13</c:f>
              <c:numCache>
                <c:formatCode>General</c:formatCode>
                <c:ptCount val="7"/>
                <c:pt idx="0">
                  <c:v>2725</c:v>
                </c:pt>
                <c:pt idx="1">
                  <c:v>2775</c:v>
                </c:pt>
                <c:pt idx="2">
                  <c:v>2825</c:v>
                </c:pt>
                <c:pt idx="3">
                  <c:v>2875</c:v>
                </c:pt>
                <c:pt idx="4">
                  <c:v>2925</c:v>
                </c:pt>
                <c:pt idx="5">
                  <c:v>2975</c:v>
                </c:pt>
                <c:pt idx="6">
                  <c:v>3025</c:v>
                </c:pt>
              </c:numCache>
            </c:numRef>
          </c:xVal>
          <c:yVal>
            <c:numRef>
              <c:f>Put!$B$7:$B$13</c:f>
              <c:numCache>
                <c:formatCode>General</c:formatCode>
                <c:ptCount val="7"/>
                <c:pt idx="0">
                  <c:v>15.32</c:v>
                </c:pt>
                <c:pt idx="1">
                  <c:v>49.36</c:v>
                </c:pt>
                <c:pt idx="2">
                  <c:v>97.9</c:v>
                </c:pt>
                <c:pt idx="3">
                  <c:v>156.18</c:v>
                </c:pt>
                <c:pt idx="4">
                  <c:v>214.55</c:v>
                </c:pt>
                <c:pt idx="5">
                  <c:v>264.01</c:v>
                </c:pt>
                <c:pt idx="6">
                  <c:v>288.48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67-4223-A29A-DF80E36F14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173024"/>
        <c:axId val="666179256"/>
      </c:scatterChart>
      <c:valAx>
        <c:axId val="666173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79256"/>
        <c:crosses val="autoZero"/>
        <c:crossBetween val="midCat"/>
      </c:valAx>
      <c:valAx>
        <c:axId val="666179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73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Put!$D$16:$D$26</c:f>
              <c:numCache>
                <c:formatCode>General</c:formatCode>
                <c:ptCount val="11"/>
                <c:pt idx="0">
                  <c:v>2625</c:v>
                </c:pt>
                <c:pt idx="1">
                  <c:v>2675</c:v>
                </c:pt>
                <c:pt idx="2">
                  <c:v>2725</c:v>
                </c:pt>
                <c:pt idx="3">
                  <c:v>2775</c:v>
                </c:pt>
                <c:pt idx="4">
                  <c:v>2825</c:v>
                </c:pt>
                <c:pt idx="5">
                  <c:v>2875</c:v>
                </c:pt>
                <c:pt idx="6">
                  <c:v>2925</c:v>
                </c:pt>
                <c:pt idx="7">
                  <c:v>2975</c:v>
                </c:pt>
                <c:pt idx="8">
                  <c:v>3025</c:v>
                </c:pt>
                <c:pt idx="9">
                  <c:v>3075</c:v>
                </c:pt>
                <c:pt idx="10">
                  <c:v>3125</c:v>
                </c:pt>
              </c:numCache>
            </c:numRef>
          </c:xVal>
          <c:yVal>
            <c:numRef>
              <c:f>Put!$E$16:$E$26</c:f>
              <c:numCache>
                <c:formatCode>0.00</c:formatCode>
                <c:ptCount val="11"/>
                <c:pt idx="0">
                  <c:v>73.597884530455076</c:v>
                </c:pt>
                <c:pt idx="1">
                  <c:v>89.947354617002134</c:v>
                </c:pt>
                <c:pt idx="2">
                  <c:v>108.51382645338651</c:v>
                </c:pt>
                <c:pt idx="3">
                  <c:v>129.34329525875228</c:v>
                </c:pt>
                <c:pt idx="4">
                  <c:v>152.45037450705127</c:v>
                </c:pt>
                <c:pt idx="5">
                  <c:v>177.81936330005124</c:v>
                </c:pt>
                <c:pt idx="6">
                  <c:v>205.4064137736882</c:v>
                </c:pt>
                <c:pt idx="7">
                  <c:v>235.14257092883759</c:v>
                </c:pt>
                <c:pt idx="8">
                  <c:v>266.93743345537109</c:v>
                </c:pt>
                <c:pt idx="9">
                  <c:v>300.68318256906286</c:v>
                </c:pt>
                <c:pt idx="10">
                  <c:v>336.25874259394186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B5-42DF-B47B-44365C8E8EE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Put!$D$16:$D$26</c:f>
              <c:numCache>
                <c:formatCode>General</c:formatCode>
                <c:ptCount val="11"/>
                <c:pt idx="0">
                  <c:v>2625</c:v>
                </c:pt>
                <c:pt idx="1">
                  <c:v>2675</c:v>
                </c:pt>
                <c:pt idx="2">
                  <c:v>2725</c:v>
                </c:pt>
                <c:pt idx="3">
                  <c:v>2775</c:v>
                </c:pt>
                <c:pt idx="4">
                  <c:v>2825</c:v>
                </c:pt>
                <c:pt idx="5">
                  <c:v>2875</c:v>
                </c:pt>
                <c:pt idx="6">
                  <c:v>2925</c:v>
                </c:pt>
                <c:pt idx="7">
                  <c:v>2975</c:v>
                </c:pt>
                <c:pt idx="8">
                  <c:v>3025</c:v>
                </c:pt>
                <c:pt idx="9">
                  <c:v>3075</c:v>
                </c:pt>
                <c:pt idx="10">
                  <c:v>3125</c:v>
                </c:pt>
              </c:numCache>
            </c:numRef>
          </c:xVal>
          <c:yVal>
            <c:numRef>
              <c:f>Put!$G$16:$G$26</c:f>
              <c:numCache>
                <c:formatCode>General</c:formatCode>
                <c:ptCount val="11"/>
                <c:pt idx="0">
                  <c:v>88.13</c:v>
                </c:pt>
                <c:pt idx="1">
                  <c:v>102.34</c:v>
                </c:pt>
                <c:pt idx="2">
                  <c:v>111</c:v>
                </c:pt>
                <c:pt idx="3">
                  <c:v>125.88</c:v>
                </c:pt>
                <c:pt idx="4">
                  <c:v>142.01</c:v>
                </c:pt>
                <c:pt idx="5">
                  <c:v>169.18</c:v>
                </c:pt>
                <c:pt idx="6">
                  <c:v>201.92</c:v>
                </c:pt>
                <c:pt idx="7">
                  <c:v>222.16</c:v>
                </c:pt>
                <c:pt idx="8">
                  <c:v>252</c:v>
                </c:pt>
                <c:pt idx="9">
                  <c:v>316.27</c:v>
                </c:pt>
                <c:pt idx="10">
                  <c:v>328.1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B5-42DF-B47B-44365C8E8EE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Put!$D$16:$D$26</c:f>
              <c:numCache>
                <c:formatCode>General</c:formatCode>
                <c:ptCount val="11"/>
                <c:pt idx="0">
                  <c:v>2625</c:v>
                </c:pt>
                <c:pt idx="1">
                  <c:v>2675</c:v>
                </c:pt>
                <c:pt idx="2">
                  <c:v>2725</c:v>
                </c:pt>
                <c:pt idx="3">
                  <c:v>2775</c:v>
                </c:pt>
                <c:pt idx="4">
                  <c:v>2825</c:v>
                </c:pt>
                <c:pt idx="5">
                  <c:v>2875</c:v>
                </c:pt>
                <c:pt idx="6">
                  <c:v>2925</c:v>
                </c:pt>
                <c:pt idx="7">
                  <c:v>2975</c:v>
                </c:pt>
                <c:pt idx="8">
                  <c:v>3025</c:v>
                </c:pt>
                <c:pt idx="9">
                  <c:v>3075</c:v>
                </c:pt>
                <c:pt idx="10">
                  <c:v>3125</c:v>
                </c:pt>
              </c:numCache>
            </c:numRef>
          </c:xVal>
          <c:yVal>
            <c:numRef>
              <c:f>Put!$C$16:$C$26</c:f>
              <c:numCache>
                <c:formatCode>General</c:formatCode>
                <c:ptCount val="11"/>
                <c:pt idx="0">
                  <c:v>108.89</c:v>
                </c:pt>
                <c:pt idx="1">
                  <c:v>130.44999999999999</c:v>
                </c:pt>
                <c:pt idx="2">
                  <c:v>117.6</c:v>
                </c:pt>
                <c:pt idx="3">
                  <c:v>121.59</c:v>
                </c:pt>
                <c:pt idx="4">
                  <c:v>136.4</c:v>
                </c:pt>
                <c:pt idx="5">
                  <c:v>156.18</c:v>
                </c:pt>
                <c:pt idx="6">
                  <c:v>195.9</c:v>
                </c:pt>
                <c:pt idx="7">
                  <c:v>210.73</c:v>
                </c:pt>
                <c:pt idx="8">
                  <c:v>245</c:v>
                </c:pt>
                <c:pt idx="9">
                  <c:v>325.3</c:v>
                </c:pt>
                <c:pt idx="10">
                  <c:v>310.2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5B5-42DF-B47B-44365C8E8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162528"/>
        <c:axId val="666166792"/>
      </c:scatterChart>
      <c:valAx>
        <c:axId val="66616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66792"/>
        <c:crosses val="autoZero"/>
        <c:crossBetween val="midCat"/>
      </c:valAx>
      <c:valAx>
        <c:axId val="66616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6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Put!$D$29:$D$31</c:f>
              <c:numCache>
                <c:formatCode>General</c:formatCode>
                <c:ptCount val="3"/>
                <c:pt idx="0">
                  <c:v>0.16666666666666666</c:v>
                </c:pt>
                <c:pt idx="1">
                  <c:v>0.67460317460317465</c:v>
                </c:pt>
                <c:pt idx="2">
                  <c:v>1.6865079365079365</c:v>
                </c:pt>
              </c:numCache>
            </c:numRef>
          </c:xVal>
          <c:yVal>
            <c:numRef>
              <c:f>Put!$E$29:$E$31</c:f>
              <c:numCache>
                <c:formatCode>0.00</c:formatCode>
                <c:ptCount val="3"/>
                <c:pt idx="0">
                  <c:v>177.81936330005124</c:v>
                </c:pt>
                <c:pt idx="1">
                  <c:v>355.20694488432241</c:v>
                </c:pt>
                <c:pt idx="2">
                  <c:v>555.27623726815409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82-4D89-9000-F8C641E8748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Put!$D$29:$D$31</c:f>
              <c:numCache>
                <c:formatCode>General</c:formatCode>
                <c:ptCount val="3"/>
                <c:pt idx="0">
                  <c:v>0.16666666666666666</c:v>
                </c:pt>
                <c:pt idx="1">
                  <c:v>0.67460317460317465</c:v>
                </c:pt>
                <c:pt idx="2">
                  <c:v>1.6865079365079365</c:v>
                </c:pt>
              </c:numCache>
            </c:numRef>
          </c:xVal>
          <c:yVal>
            <c:numRef>
              <c:f>Put!$G$29:$G$31</c:f>
              <c:numCache>
                <c:formatCode>General</c:formatCode>
                <c:ptCount val="3"/>
                <c:pt idx="0">
                  <c:v>166.09</c:v>
                </c:pt>
                <c:pt idx="1">
                  <c:v>324.06</c:v>
                </c:pt>
                <c:pt idx="2">
                  <c:v>503.77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82-4D89-9000-F8C641E8748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Put!$D$29:$D$31</c:f>
              <c:numCache>
                <c:formatCode>General</c:formatCode>
                <c:ptCount val="3"/>
                <c:pt idx="0">
                  <c:v>0.16666666666666666</c:v>
                </c:pt>
                <c:pt idx="1">
                  <c:v>0.67460317460317465</c:v>
                </c:pt>
                <c:pt idx="2">
                  <c:v>1.6865079365079365</c:v>
                </c:pt>
              </c:numCache>
            </c:numRef>
          </c:xVal>
          <c:yVal>
            <c:numRef>
              <c:f>Put!$C$29:$C$31</c:f>
              <c:numCache>
                <c:formatCode>General</c:formatCode>
                <c:ptCount val="3"/>
                <c:pt idx="0">
                  <c:v>156.18</c:v>
                </c:pt>
                <c:pt idx="1">
                  <c:v>298.79000000000002</c:v>
                </c:pt>
                <c:pt idx="2">
                  <c:v>422.06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982-4D89-9000-F8C641E87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182560"/>
        <c:axId val="631183872"/>
      </c:scatterChart>
      <c:valAx>
        <c:axId val="63118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183872"/>
        <c:crosses val="autoZero"/>
        <c:crossBetween val="midCat"/>
      </c:valAx>
      <c:valAx>
        <c:axId val="63118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18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</xdr:colOff>
      <xdr:row>8</xdr:row>
      <xdr:rowOff>1</xdr:rowOff>
    </xdr:from>
    <xdr:ext cx="1819274" cy="3524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1AC6E5D5-1602-4625-9202-7D0CC4FEE04F}"/>
                </a:ext>
              </a:extLst>
            </xdr:cNvPr>
            <xdr:cNvSpPr txBox="1"/>
          </xdr:nvSpPr>
          <xdr:spPr>
            <a:xfrm>
              <a:off x="3952876" y="1447801"/>
              <a:ext cx="1819274" cy="3524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SG" sz="11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SG" sz="1100" b="1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SG" sz="1100" b="1" i="1">
                        <a:latin typeface="Cambria Math" panose="02040503050406030204" pitchFamily="18" charset="0"/>
                      </a:rPr>
                      <m:t>𝑷</m:t>
                    </m:r>
                    <m:r>
                      <a:rPr lang="en-SG" sz="1100" b="1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SG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SG" sz="1100" b="1" i="1">
                            <a:latin typeface="Cambria Math" panose="02040503050406030204" pitchFamily="18" charset="0"/>
                          </a:rPr>
                          <m:t>𝑺</m:t>
                        </m:r>
                      </m:e>
                      <m:sub>
                        <m:r>
                          <a:rPr lang="en-SG" sz="1100" b="1" i="1">
                            <a:latin typeface="Cambria Math" panose="02040503050406030204" pitchFamily="18" charset="0"/>
                          </a:rPr>
                          <m:t>𝟎</m:t>
                        </m:r>
                      </m:sub>
                    </m:sSub>
                    <m:r>
                      <a:rPr lang="en-SG" sz="1100" b="1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SG" sz="1100" b="1" i="1">
                        <a:latin typeface="Cambria Math" panose="02040503050406030204" pitchFamily="18" charset="0"/>
                      </a:rPr>
                      <m:t>𝑲</m:t>
                    </m:r>
                    <m:sSup>
                      <m:sSupPr>
                        <m:ctrlPr>
                          <a:rPr lang="en-SG" sz="11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SG" sz="1100" b="1" i="1">
                            <a:latin typeface="Cambria Math" panose="02040503050406030204" pitchFamily="18" charset="0"/>
                          </a:rPr>
                          <m:t>𝒆</m:t>
                        </m:r>
                      </m:e>
                      <m:sup>
                        <m:r>
                          <a:rPr lang="en-SG" sz="1100" b="1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SG" sz="1100" b="1" i="1">
                            <a:latin typeface="Cambria Math" panose="02040503050406030204" pitchFamily="18" charset="0"/>
                          </a:rPr>
                          <m:t>𝒓𝑻</m:t>
                        </m:r>
                      </m:sup>
                    </m:sSup>
                  </m:oMath>
                </m:oMathPara>
              </a14:m>
              <a:endParaRPr lang="en-SG" sz="1100" b="1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1AC6E5D5-1602-4625-9202-7D0CC4FEE04F}"/>
                </a:ext>
              </a:extLst>
            </xdr:cNvPr>
            <xdr:cNvSpPr txBox="1"/>
          </xdr:nvSpPr>
          <xdr:spPr>
            <a:xfrm>
              <a:off x="3952876" y="1447801"/>
              <a:ext cx="1819274" cy="3524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SG" sz="1100" b="1" i="0">
                  <a:latin typeface="Cambria Math" panose="02040503050406030204" pitchFamily="18" charset="0"/>
                </a:rPr>
                <a:t>𝑪−𝑷=𝑺_𝟎−𝑲𝒆^(−𝒓𝑻)</a:t>
              </a:r>
              <a:endParaRPr lang="en-SG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103280</xdr:colOff>
      <xdr:row>21</xdr:row>
      <xdr:rowOff>140447</xdr:rowOff>
    </xdr:from>
    <xdr:to>
      <xdr:col>26</xdr:col>
      <xdr:colOff>445806</xdr:colOff>
      <xdr:row>37</xdr:row>
      <xdr:rowOff>18116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4067B76-C553-493F-9556-8680E037AB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459440</xdr:colOff>
      <xdr:row>39</xdr:row>
      <xdr:rowOff>124384</xdr:rowOff>
    </xdr:from>
    <xdr:to>
      <xdr:col>26</xdr:col>
      <xdr:colOff>190499</xdr:colOff>
      <xdr:row>55</xdr:row>
      <xdr:rowOff>2054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95AF432-6378-42A3-B936-9CE51480AC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369794</xdr:colOff>
      <xdr:row>1</xdr:row>
      <xdr:rowOff>135590</xdr:rowOff>
    </xdr:from>
    <xdr:to>
      <xdr:col>26</xdr:col>
      <xdr:colOff>107203</xdr:colOff>
      <xdr:row>17</xdr:row>
      <xdr:rowOff>6909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7E9B483-FEAA-43E9-BB0E-2DF45DDB7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224117</xdr:colOff>
      <xdr:row>2</xdr:row>
      <xdr:rowOff>34738</xdr:rowOff>
    </xdr:from>
    <xdr:to>
      <xdr:col>23</xdr:col>
      <xdr:colOff>560293</xdr:colOff>
      <xdr:row>17</xdr:row>
      <xdr:rowOff>85351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ED1EC0-3DEA-4A0F-A278-5046E12D79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336176</xdr:colOff>
      <xdr:row>18</xdr:row>
      <xdr:rowOff>124384</xdr:rowOff>
    </xdr:from>
    <xdr:to>
      <xdr:col>27</xdr:col>
      <xdr:colOff>67235</xdr:colOff>
      <xdr:row>33</xdr:row>
      <xdr:rowOff>174997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DCC17B1-EDA5-446F-A0B7-CA41F6D7E5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44823</xdr:colOff>
      <xdr:row>29</xdr:row>
      <xdr:rowOff>90768</xdr:rowOff>
    </xdr:from>
    <xdr:to>
      <xdr:col>18</xdr:col>
      <xdr:colOff>380999</xdr:colOff>
      <xdr:row>44</xdr:row>
      <xdr:rowOff>141381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B76AAC5-75B0-4BBA-A318-E7C72C2813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1D20A-D2A6-45FB-B900-AB1A93D3BB41}">
  <sheetPr codeName="Sheet1"/>
  <dimension ref="A1:O20"/>
  <sheetViews>
    <sheetView workbookViewId="0">
      <selection activeCell="B6" sqref="B6"/>
    </sheetView>
  </sheetViews>
  <sheetFormatPr defaultRowHeight="14.5" x14ac:dyDescent="0.35"/>
  <cols>
    <col min="1" max="1" width="12.90625" style="3" bestFit="1" customWidth="1"/>
    <col min="2" max="16384" width="8.7265625" style="3"/>
  </cols>
  <sheetData>
    <row r="1" spans="1:15" x14ac:dyDescent="0.35">
      <c r="A1" s="1" t="s">
        <v>0</v>
      </c>
      <c r="B1" s="2">
        <v>100</v>
      </c>
    </row>
    <row r="2" spans="1:15" x14ac:dyDescent="0.35">
      <c r="A2" s="1" t="s">
        <v>1</v>
      </c>
      <c r="B2" s="2">
        <v>100</v>
      </c>
    </row>
    <row r="3" spans="1:15" x14ac:dyDescent="0.35">
      <c r="A3" s="1" t="s">
        <v>2</v>
      </c>
      <c r="B3" s="4">
        <v>0.15</v>
      </c>
    </row>
    <row r="4" spans="1:15" x14ac:dyDescent="0.35">
      <c r="A4" s="1" t="s">
        <v>3</v>
      </c>
      <c r="B4" s="13">
        <v>0.05</v>
      </c>
      <c r="H4" s="6" t="s">
        <v>9</v>
      </c>
    </row>
    <row r="5" spans="1:15" x14ac:dyDescent="0.35">
      <c r="A5" s="1" t="s">
        <v>4</v>
      </c>
      <c r="B5" s="2">
        <v>5</v>
      </c>
      <c r="D5" s="22" t="s">
        <v>8</v>
      </c>
      <c r="E5" s="22"/>
      <c r="H5" s="5" t="s">
        <v>10</v>
      </c>
      <c r="I5" s="5" t="s">
        <v>11</v>
      </c>
      <c r="J5" s="5" t="s">
        <v>12</v>
      </c>
      <c r="K5" s="5" t="s">
        <v>13</v>
      </c>
      <c r="L5" s="7" t="s">
        <v>7</v>
      </c>
      <c r="M5" s="5" t="s">
        <v>14</v>
      </c>
      <c r="N5" s="5" t="s">
        <v>15</v>
      </c>
      <c r="O5" s="8" t="s">
        <v>6</v>
      </c>
    </row>
    <row r="6" spans="1:15" x14ac:dyDescent="0.35">
      <c r="A6" s="1" t="s">
        <v>5</v>
      </c>
      <c r="B6" s="2">
        <v>0</v>
      </c>
      <c r="D6" s="7" t="s">
        <v>7</v>
      </c>
      <c r="E6" s="14">
        <f>BSF(B1,$B$2,$B$3,$B$4,B5,B6,D6)</f>
        <v>26.002106847435947</v>
      </c>
      <c r="H6" s="3">
        <f>(LN(B1/B2)+(B4-B6+B3^2/2)*B5)/(B3*B5^0.5)</f>
        <v>0.91306109081241416</v>
      </c>
      <c r="I6" s="3">
        <f>H6-B3*B5^0.5</f>
        <v>0.57765089418744564</v>
      </c>
      <c r="J6" s="3">
        <f>_xlfn.NORM.S.DIST(H6,1)</f>
        <v>0.81939479370883062</v>
      </c>
      <c r="K6" s="3">
        <f>_xlfn.NORM.S.DIST(I6,1)</f>
        <v>0.71825008062836604</v>
      </c>
      <c r="L6" s="3">
        <f>B1*EXP(-B6*B5)*J6-B2*K6*EXP(-B4*B5)</f>
        <v>26.002106847435947</v>
      </c>
      <c r="M6" s="3">
        <f>_xlfn.NORM.S.DIST(-H6,TRUE)</f>
        <v>0.18060520629116941</v>
      </c>
      <c r="N6" s="3">
        <f>_xlfn.NORM.S.DIST(-I6,TRUE)</f>
        <v>0.28174991937163391</v>
      </c>
      <c r="O6" s="3">
        <f>-(B1*EXP(-B6*B5)*M6-N6*B2*EXP(-B4*B5))</f>
        <v>3.8821851545764261</v>
      </c>
    </row>
    <row r="7" spans="1:15" x14ac:dyDescent="0.35">
      <c r="D7" s="8" t="s">
        <v>6</v>
      </c>
      <c r="E7" s="3">
        <f>BSF(B1,$B$2,$B$3,$B$4,B5,B6,D7)</f>
        <v>3.8821851545764261</v>
      </c>
    </row>
    <row r="9" spans="1:15" x14ac:dyDescent="0.35">
      <c r="D9" s="10" t="s">
        <v>16</v>
      </c>
      <c r="G9" s="21"/>
      <c r="H9" s="21"/>
      <c r="I9" s="21"/>
      <c r="J9" s="9"/>
    </row>
    <row r="10" spans="1:15" x14ac:dyDescent="0.35">
      <c r="D10" s="11" t="s">
        <v>19</v>
      </c>
      <c r="G10" s="21"/>
      <c r="H10" s="21"/>
      <c r="I10" s="21"/>
      <c r="J10" s="9"/>
    </row>
    <row r="11" spans="1:15" x14ac:dyDescent="0.35">
      <c r="D11" s="5" t="s">
        <v>17</v>
      </c>
      <c r="E11" s="10" t="s">
        <v>18</v>
      </c>
    </row>
    <row r="12" spans="1:15" x14ac:dyDescent="0.35">
      <c r="D12" s="3">
        <f>E6-E7</f>
        <v>22.119921692859521</v>
      </c>
      <c r="E12" s="3">
        <f>B1-B2*EXP(-B4*B5)</f>
        <v>22.119921692859506</v>
      </c>
    </row>
    <row r="13" spans="1:15" x14ac:dyDescent="0.35">
      <c r="D13" s="20" t="s">
        <v>19</v>
      </c>
      <c r="E13" s="21"/>
    </row>
    <row r="14" spans="1:15" x14ac:dyDescent="0.35">
      <c r="D14" s="10" t="s">
        <v>20</v>
      </c>
    </row>
    <row r="15" spans="1:15" x14ac:dyDescent="0.35">
      <c r="D15" s="20" t="s">
        <v>19</v>
      </c>
      <c r="E15" s="21"/>
    </row>
    <row r="16" spans="1:15" x14ac:dyDescent="0.35">
      <c r="D16" s="10" t="s">
        <v>24</v>
      </c>
    </row>
    <row r="17" spans="4:6" x14ac:dyDescent="0.35">
      <c r="D17" s="20" t="s">
        <v>19</v>
      </c>
      <c r="E17" s="21"/>
      <c r="F17" s="12" t="s">
        <v>21</v>
      </c>
    </row>
    <row r="18" spans="4:6" x14ac:dyDescent="0.35">
      <c r="D18" s="5" t="s">
        <v>7</v>
      </c>
      <c r="F18" s="5" t="s">
        <v>6</v>
      </c>
    </row>
    <row r="19" spans="4:6" x14ac:dyDescent="0.35">
      <c r="D19" s="3">
        <f>E6</f>
        <v>26.002106847435947</v>
      </c>
      <c r="E19" s="11" t="s">
        <v>22</v>
      </c>
      <c r="F19" s="3">
        <f>D19-B1+B2*EXP(-B4*B5)</f>
        <v>3.8821851545764474</v>
      </c>
    </row>
    <row r="20" spans="4:6" x14ac:dyDescent="0.35">
      <c r="F20" s="3" t="s">
        <v>23</v>
      </c>
    </row>
  </sheetData>
  <mergeCells count="5">
    <mergeCell ref="D17:E17"/>
    <mergeCell ref="D5:E5"/>
    <mergeCell ref="G9:I10"/>
    <mergeCell ref="D13:E13"/>
    <mergeCell ref="D15:E1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7F180-D678-49C7-AC93-8D4746F8E59F}">
  <sheetPr codeName="Sheet4"/>
  <dimension ref="A1:Q59"/>
  <sheetViews>
    <sheetView tabSelected="1" zoomScale="85" zoomScaleNormal="85" workbookViewId="0">
      <selection activeCell="AB21" sqref="AB21"/>
    </sheetView>
  </sheetViews>
  <sheetFormatPr defaultRowHeight="14.5" x14ac:dyDescent="0.35"/>
  <cols>
    <col min="1" max="16384" width="8.7265625" style="16"/>
  </cols>
  <sheetData>
    <row r="1" spans="1:17" x14ac:dyDescent="0.35">
      <c r="A1" s="16" t="s">
        <v>26</v>
      </c>
      <c r="B1" s="16">
        <v>2875</v>
      </c>
    </row>
    <row r="2" spans="1:17" x14ac:dyDescent="0.35">
      <c r="A2" s="16" t="s">
        <v>27</v>
      </c>
      <c r="B2" s="16">
        <v>2850</v>
      </c>
      <c r="F2" s="17"/>
    </row>
    <row r="3" spans="1:17" x14ac:dyDescent="0.35">
      <c r="A3" s="16" t="s">
        <v>28</v>
      </c>
      <c r="B3" s="16">
        <v>2.5000000000000001E-3</v>
      </c>
      <c r="F3" s="17"/>
    </row>
    <row r="4" spans="1:17" x14ac:dyDescent="0.35">
      <c r="A4" s="16" t="s">
        <v>29</v>
      </c>
      <c r="B4" s="16">
        <v>0.38150000000000001</v>
      </c>
      <c r="F4" s="17"/>
    </row>
    <row r="5" spans="1:17" x14ac:dyDescent="0.35">
      <c r="A5" s="16" t="s">
        <v>30</v>
      </c>
      <c r="B5" s="16">
        <f>42/252</f>
        <v>0.16666666666666666</v>
      </c>
      <c r="F5" s="17"/>
    </row>
    <row r="6" spans="1:17" x14ac:dyDescent="0.35">
      <c r="C6" s="19" t="s">
        <v>33</v>
      </c>
      <c r="D6" s="16" t="s">
        <v>31</v>
      </c>
      <c r="E6" s="16" t="s">
        <v>7</v>
      </c>
      <c r="F6" s="15" t="s">
        <v>34</v>
      </c>
      <c r="G6" s="15" t="s">
        <v>35</v>
      </c>
      <c r="H6" s="15" t="s">
        <v>36</v>
      </c>
    </row>
    <row r="7" spans="1:17" x14ac:dyDescent="0.35">
      <c r="B7" s="16">
        <v>15.32</v>
      </c>
      <c r="C7" s="19">
        <f ca="1">$C$10-J7</f>
        <v>-5.3720101421562276</v>
      </c>
      <c r="D7" s="16">
        <v>2725</v>
      </c>
      <c r="E7" s="17" cm="1">
        <f t="array" ref="E7">BSF(D7,$B$2,$B$4,$B$3,$B$5,0,$E$6)</f>
        <v>118.05737120340416</v>
      </c>
      <c r="F7" s="19">
        <f ca="1">ABS(E7-C7)/(E7+C7)/2*100</f>
        <v>54.76726532316507</v>
      </c>
      <c r="G7" s="15">
        <v>69.430000000000007</v>
      </c>
      <c r="H7" s="19">
        <f ca="1">ABS(G7-C7)/(G7+C7)/2*100</f>
        <v>58.386167212049088</v>
      </c>
      <c r="I7" s="16">
        <f>ABS(G7-B7)/(G7+B7)/2*100</f>
        <v>31.923303834808266</v>
      </c>
      <c r="J7" s="16">
        <f t="shared" ref="J7:J8" ca="1" si="0">NORMINV(RAND(),$D$10-D7,7.5)</f>
        <v>144.67201014215624</v>
      </c>
      <c r="K7" s="16">
        <f>ABS(E7-B7)/(E7+B7)/2*100</f>
        <v>38.513793710451402</v>
      </c>
      <c r="L7" s="18">
        <f>AVERAGE(I7:I13)</f>
        <v>8.7310255194794824</v>
      </c>
      <c r="M7" s="18">
        <f>MEDIAN(I7:I13)</f>
        <v>2.9906467022600438</v>
      </c>
      <c r="N7" s="18">
        <f>_xlfn.STDEV.S(K7:K13)</f>
        <v>14.567700214506905</v>
      </c>
    </row>
    <row r="8" spans="1:17" x14ac:dyDescent="0.35">
      <c r="B8" s="16">
        <v>49.36</v>
      </c>
      <c r="C8" s="19">
        <f t="shared" ref="C8" ca="1" si="1">$C$10-J8</f>
        <v>45.426044114445048</v>
      </c>
      <c r="D8" s="16">
        <f>D7+50</f>
        <v>2775</v>
      </c>
      <c r="E8" s="17" cm="1">
        <f t="array" ref="E8">BSF(D8,$B$2,$B$4,$B$3,$B$5,0,$E$6)</f>
        <v>140.10036126861269</v>
      </c>
      <c r="F8" s="19">
        <f t="shared" ref="F8:F13" ca="1" si="2">ABS(E8-C8)/(E8+C8)/2*100</f>
        <v>25.515051875956114</v>
      </c>
      <c r="G8" s="15">
        <v>100.88</v>
      </c>
      <c r="H8" s="19">
        <f ca="1">ABS(G8-C8)/(G8+C8)/2*100</f>
        <v>18.951355093087326</v>
      </c>
      <c r="I8" s="16">
        <f>ABS(G8-B8)/(G8+B8)/2*100</f>
        <v>17.145899893503724</v>
      </c>
      <c r="J8" s="16">
        <f t="shared" ca="1" si="0"/>
        <v>93.873955885554963</v>
      </c>
      <c r="K8" s="16">
        <f>ABS(E8-B8)/(E8+B8)/2*100</f>
        <v>23.947056962475386</v>
      </c>
      <c r="L8" s="18">
        <f>AVERAGE(K7:K13)</f>
        <v>11.781910321176083</v>
      </c>
      <c r="M8" s="18">
        <f>MEDIAN(K7:K13)</f>
        <v>5.020065873074528</v>
      </c>
      <c r="N8" s="18">
        <f>_xlfn.STDEV.S(I7:I13)</f>
        <v>11.706973595795535</v>
      </c>
    </row>
    <row r="9" spans="1:17" x14ac:dyDescent="0.35">
      <c r="B9" s="16">
        <v>97.9</v>
      </c>
      <c r="C9" s="19">
        <f ca="1">$C$10-J9</f>
        <v>91.24750849147128</v>
      </c>
      <c r="D9" s="16">
        <f t="shared" ref="D9:D13" si="3">D8+50</f>
        <v>2825</v>
      </c>
      <c r="E9" s="17" cm="1">
        <f t="array" ref="E9">BSF(D9,$B$2,$B$4,$B$3,$B$5,0,$E$6)</f>
        <v>164.43900031521935</v>
      </c>
      <c r="F9" s="19">
        <f t="shared" ca="1" si="2"/>
        <v>14.312740270368312</v>
      </c>
      <c r="G9" s="15">
        <v>121.46</v>
      </c>
      <c r="H9" s="19">
        <f t="shared" ref="H9:H13" ca="1" si="4">ABS(G9-C9)/(G9+C9)/2*100</f>
        <v>7.1018864643746484</v>
      </c>
      <c r="I9" s="16">
        <f t="shared" ref="I9:I13" si="5">ABS(G9-B9)/(G9+B9)/2*100</f>
        <v>5.3701677607585676</v>
      </c>
      <c r="J9" s="16">
        <f ca="1">NORMINV(RAND(),$D$10-D9,7.5)</f>
        <v>48.052491508528732</v>
      </c>
      <c r="K9" s="16">
        <f t="shared" ref="K9:K13" si="6">ABS(E9-B9)/(E9+B9)/2*100</f>
        <v>12.681873498654014</v>
      </c>
    </row>
    <row r="10" spans="1:17" x14ac:dyDescent="0.35">
      <c r="B10" s="16">
        <v>156.18</v>
      </c>
      <c r="C10" s="19">
        <v>139.30000000000001</v>
      </c>
      <c r="D10" s="16">
        <f t="shared" si="3"/>
        <v>2875</v>
      </c>
      <c r="E10" s="17" cm="1">
        <f t="array" ref="E10">BSF(D10,$B$2,$B$4,$B$3,$B$5,0,$E$6)</f>
        <v>191.04149561021472</v>
      </c>
      <c r="F10" s="19">
        <f t="shared" si="2"/>
        <v>7.8315162184872626</v>
      </c>
      <c r="G10" s="15">
        <v>166</v>
      </c>
      <c r="H10" s="19">
        <f t="shared" si="4"/>
        <v>4.3727481166066147</v>
      </c>
      <c r="I10" s="16">
        <f t="shared" si="5"/>
        <v>1.523992799056427</v>
      </c>
      <c r="K10" s="16">
        <f t="shared" si="6"/>
        <v>5.020065873074528</v>
      </c>
    </row>
    <row r="11" spans="1:17" x14ac:dyDescent="0.35">
      <c r="B11" s="16">
        <v>214.55</v>
      </c>
      <c r="C11" s="19">
        <f ca="1">$C$10+J11</f>
        <v>193.10729246758046</v>
      </c>
      <c r="D11" s="16">
        <f t="shared" si="3"/>
        <v>2925</v>
      </c>
      <c r="E11" s="17" cm="1">
        <f t="array" ref="E11">BSF(D11,$B$2,$B$4,$B$3,$B$5,0,$E$6)</f>
        <v>219.84868288132861</v>
      </c>
      <c r="F11" s="19">
        <f t="shared" ca="1" si="2"/>
        <v>3.237801607199676</v>
      </c>
      <c r="G11" s="15">
        <v>201.77</v>
      </c>
      <c r="H11" s="19">
        <f t="shared" ca="1" si="4"/>
        <v>1.0968860070791178</v>
      </c>
      <c r="I11" s="16">
        <f t="shared" si="5"/>
        <v>1.5348770176787085</v>
      </c>
      <c r="J11" s="16">
        <f ca="1">NORMINV(RAND(),D11-$D$10,7.5)</f>
        <v>53.807292467580439</v>
      </c>
      <c r="K11" s="16">
        <f t="shared" si="6"/>
        <v>0.60988707955821841</v>
      </c>
      <c r="O11" s="18"/>
      <c r="P11" s="18"/>
    </row>
    <row r="12" spans="1:17" x14ac:dyDescent="0.35">
      <c r="B12" s="16">
        <v>264.01</v>
      </c>
      <c r="C12" s="19">
        <f t="shared" ref="C12:C13" ca="1" si="7">$C$10+J12</f>
        <v>237.58905210672563</v>
      </c>
      <c r="D12" s="16">
        <f t="shared" si="3"/>
        <v>2975</v>
      </c>
      <c r="E12" s="17" cm="1">
        <f t="array" ref="E12">BSF(D12,$B$2,$B$4,$B$3,$B$5,0,$E$6)</f>
        <v>250.7775716238898</v>
      </c>
      <c r="F12" s="19">
        <f t="shared" ca="1" si="2"/>
        <v>1.350268310354374</v>
      </c>
      <c r="G12" s="15">
        <v>234.21</v>
      </c>
      <c r="H12" s="19">
        <f t="shared" ca="1" si="4"/>
        <v>0.35810289270793705</v>
      </c>
      <c r="I12" s="16">
        <f t="shared" si="5"/>
        <v>2.9906467022600438</v>
      </c>
      <c r="J12" s="16">
        <f t="shared" ref="J12:J13" ca="1" si="8">NORMINV(RAND(),D12-$D$10,7.5)</f>
        <v>98.28905210672562</v>
      </c>
      <c r="K12" s="16">
        <f t="shared" si="6"/>
        <v>1.2852319194856137</v>
      </c>
      <c r="O12" s="17"/>
      <c r="P12" s="17"/>
    </row>
    <row r="13" spans="1:17" x14ac:dyDescent="0.35">
      <c r="B13" s="16">
        <v>288.48</v>
      </c>
      <c r="C13" s="19">
        <f t="shared" ca="1" si="7"/>
        <v>301.26484339127143</v>
      </c>
      <c r="D13" s="16">
        <f t="shared" si="3"/>
        <v>3025</v>
      </c>
      <c r="E13" s="17" cm="1">
        <f t="array" ref="E13">BSF(D13,$B$2,$B$4,$B$3,$B$5,0,$E$6)</f>
        <v>283.72539426494745</v>
      </c>
      <c r="F13" s="19">
        <f t="shared" ca="1" si="2"/>
        <v>1.4991232329445623</v>
      </c>
      <c r="G13" s="15">
        <v>281.32</v>
      </c>
      <c r="H13" s="19">
        <f t="shared" ca="1" si="4"/>
        <v>1.7117544008844239</v>
      </c>
      <c r="I13" s="16">
        <f t="shared" si="5"/>
        <v>0.62829062829063054</v>
      </c>
      <c r="J13" s="16">
        <f t="shared" ca="1" si="8"/>
        <v>161.96484339127142</v>
      </c>
      <c r="K13" s="16">
        <f t="shared" si="6"/>
        <v>0.41546320453342722</v>
      </c>
    </row>
    <row r="14" spans="1:17" x14ac:dyDescent="0.35">
      <c r="F14" s="17"/>
    </row>
    <row r="15" spans="1:17" x14ac:dyDescent="0.35">
      <c r="C15" s="17" t="s">
        <v>33</v>
      </c>
      <c r="D15" s="16" t="s">
        <v>25</v>
      </c>
      <c r="E15" s="16" t="s">
        <v>7</v>
      </c>
      <c r="F15" s="16" t="s">
        <v>34</v>
      </c>
      <c r="G15" s="15" t="s">
        <v>35</v>
      </c>
      <c r="H15" s="15" t="s">
        <v>36</v>
      </c>
    </row>
    <row r="16" spans="1:17" x14ac:dyDescent="0.35">
      <c r="C16" s="16">
        <v>500.93</v>
      </c>
      <c r="D16" s="16">
        <v>2550</v>
      </c>
      <c r="E16" s="17" cm="1">
        <f t="array" ref="E16">BSF($B$1,D16,$B$4,$B$3,$B$5,0,$E$15)</f>
        <v>379.11587883901097</v>
      </c>
      <c r="F16" s="17">
        <f>ABS(E16-C16)/(E16+C16)/2*100</f>
        <v>6.9208960629240552</v>
      </c>
      <c r="G16" s="19">
        <v>421.19</v>
      </c>
      <c r="H16" s="19">
        <f>ABS(G16-C16)/(G16+C16)/2*100</f>
        <v>4.3237322691189872</v>
      </c>
      <c r="L16" s="18">
        <f>AVERAGE(H16:H22)</f>
        <v>5.7145884989987712</v>
      </c>
      <c r="M16" s="18">
        <f>MEDIAN(H16:H22)</f>
        <v>4.3603894413495086</v>
      </c>
      <c r="N16" s="18">
        <f>_xlfn.STDEV.S(F16:F22)</f>
        <v>6.3786123986062853</v>
      </c>
      <c r="O16" s="18">
        <f>AVERAGE(I7:I13,H16:H22,H25:H27)</f>
        <v>6.7342355967125931</v>
      </c>
      <c r="P16" s="18">
        <f>MEDIAN(I7:I13,H16:H22,H25:H27)</f>
        <v>4.3237322691189872</v>
      </c>
      <c r="Q16" s="18">
        <f>_xlfn.STDEV.S(K7:K13,F16:F22,F25:F27)</f>
        <v>10.010188084422289</v>
      </c>
    </row>
    <row r="17" spans="1:17" x14ac:dyDescent="0.35">
      <c r="C17" s="16">
        <v>374.18</v>
      </c>
      <c r="D17" s="16">
        <v>2625</v>
      </c>
      <c r="E17" s="17" cm="1">
        <f t="array" ref="E17">BSF($B$1,D17,$B$4,$B$3,$B$5,0,$E$15)</f>
        <v>324.69140669751641</v>
      </c>
      <c r="F17" s="17">
        <f>ABS(E17-C17)/(E17+C17)/2*100</f>
        <v>3.5406079593626232</v>
      </c>
      <c r="G17" s="15">
        <v>333.19</v>
      </c>
      <c r="H17" s="19">
        <f t="shared" ref="H17:H22" si="9">ABS(G17-C17)/(G17+C17)/2*100</f>
        <v>2.8973521636484447</v>
      </c>
      <c r="L17" s="18">
        <f>AVERAGE(F16:F22)</f>
        <v>11.924703991254072</v>
      </c>
      <c r="M17" s="18">
        <f>MEDIAN(F16:F22)</f>
        <v>13.922543381472567</v>
      </c>
      <c r="N17" s="18">
        <f>_xlfn.STDEV.S(H16:H22)</f>
        <v>2.4916248126618581</v>
      </c>
      <c r="O17" s="18">
        <f>AVERAGE(K7:K13,F16:F22,F25:F27)</f>
        <v>11.19145052499163</v>
      </c>
      <c r="P17" s="18">
        <f>MEDIAN(K7:K13,F16:F22,F25:F27)</f>
        <v>6.9208960629240552</v>
      </c>
      <c r="Q17" s="18">
        <f>_xlfn.STDEV.S(I7:I13,H16:H22,H25:H27)</f>
        <v>7.6601007280198923</v>
      </c>
    </row>
    <row r="18" spans="1:17" x14ac:dyDescent="0.35">
      <c r="C18" s="16">
        <v>326.77</v>
      </c>
      <c r="D18" s="16">
        <v>2725</v>
      </c>
      <c r="E18" s="17" cm="1">
        <f t="array" ref="E18">BSF($B$1,D18,$B$4,$B$3,$B$5,0,$E$15)</f>
        <v>259.64900660776448</v>
      </c>
      <c r="F18" s="17">
        <f t="shared" ref="F18:F22" si="10">ABS(E18-C18)/(E18+C18)/2*100</f>
        <v>5.722955142646871</v>
      </c>
      <c r="G18" s="15">
        <v>281.2</v>
      </c>
      <c r="H18" s="19">
        <f t="shared" si="9"/>
        <v>3.7477178150237669</v>
      </c>
    </row>
    <row r="19" spans="1:17" x14ac:dyDescent="0.35">
      <c r="C19" s="16">
        <v>338.49</v>
      </c>
      <c r="D19" s="16">
        <v>2850</v>
      </c>
      <c r="E19" s="17" cm="1">
        <f t="array" ref="E19">BSF($B$1,D19,$B$4,$B$3,$B$5,0,$E$15)</f>
        <v>191.04149561021472</v>
      </c>
      <c r="F19" s="17">
        <f t="shared" si="10"/>
        <v>13.922543381472567</v>
      </c>
      <c r="G19" s="15">
        <v>256.77999999999997</v>
      </c>
      <c r="H19" s="19">
        <f t="shared" si="9"/>
        <v>6.8632721286139091</v>
      </c>
    </row>
    <row r="20" spans="1:17" x14ac:dyDescent="0.35">
      <c r="C20" s="16">
        <v>309.37</v>
      </c>
      <c r="D20" s="16">
        <v>2925</v>
      </c>
      <c r="E20" s="17" cm="1">
        <f t="array" ref="E20">BSF($B$1,D20,$B$4,$B$3,$B$5,0,$E$15)</f>
        <v>156.6249099026993</v>
      </c>
      <c r="F20" s="17">
        <f t="shared" si="10"/>
        <v>16.389137182763882</v>
      </c>
      <c r="G20" s="15">
        <v>216</v>
      </c>
      <c r="H20" s="19">
        <f t="shared" si="9"/>
        <v>8.8861183546833651</v>
      </c>
    </row>
    <row r="21" spans="1:17" x14ac:dyDescent="0.35">
      <c r="C21" s="16">
        <v>271.72000000000003</v>
      </c>
      <c r="D21" s="16">
        <v>3000</v>
      </c>
      <c r="E21" s="17" cm="1">
        <f t="array" ref="E21">BSF($B$1,D21,$B$4,$B$3,$B$5,0,$E$15)</f>
        <v>127.03878274682438</v>
      </c>
      <c r="F21" s="17">
        <f t="shared" si="10"/>
        <v>18.14144584559973</v>
      </c>
      <c r="G21" s="15">
        <v>189.42</v>
      </c>
      <c r="H21" s="19">
        <f t="shared" si="9"/>
        <v>8.9235373205534145</v>
      </c>
    </row>
    <row r="22" spans="1:17" x14ac:dyDescent="0.35">
      <c r="C22" s="16">
        <v>208.82</v>
      </c>
      <c r="D22" s="16">
        <v>3100</v>
      </c>
      <c r="E22" s="17" cm="1">
        <f t="array" ref="E22">BSF($B$1,D22,$B$4,$B$3,$B$5,0,$E$15)</f>
        <v>94.541605867720023</v>
      </c>
      <c r="F22" s="17">
        <f t="shared" si="10"/>
        <v>18.83534236400877</v>
      </c>
      <c r="G22" s="15">
        <v>175.32</v>
      </c>
      <c r="H22" s="19">
        <f t="shared" si="9"/>
        <v>4.3603894413495086</v>
      </c>
    </row>
    <row r="24" spans="1:17" x14ac:dyDescent="0.35">
      <c r="C24" s="17" t="s">
        <v>33</v>
      </c>
      <c r="D24" s="16" t="s">
        <v>32</v>
      </c>
      <c r="E24" s="16" t="s">
        <v>7</v>
      </c>
      <c r="F24" s="16" t="s">
        <v>34</v>
      </c>
      <c r="G24" s="15" t="s">
        <v>35</v>
      </c>
      <c r="H24" s="15" t="s">
        <v>36</v>
      </c>
    </row>
    <row r="25" spans="1:17" x14ac:dyDescent="0.35">
      <c r="C25" s="16">
        <v>163.68</v>
      </c>
      <c r="D25" s="16">
        <f>42/252</f>
        <v>0.16666666666666666</v>
      </c>
      <c r="E25" s="17" cm="1">
        <f t="array" ref="E25">BSF($B$1,$B$2,$B$4,$B$3,D25,0,$E$24)</f>
        <v>191.04149561021472</v>
      </c>
      <c r="F25" s="17">
        <f>ABS(E25-C25)/(E25+C25)/2*100</f>
        <v>3.8567574771787814</v>
      </c>
      <c r="G25" s="15">
        <v>173.5</v>
      </c>
      <c r="H25" s="19">
        <f>ABS(G25-C25)/(G25+C25)/2*100</f>
        <v>1.4561955038851642</v>
      </c>
      <c r="L25" s="18">
        <f>AVERAGE(H25:H27)</f>
        <v>4.4542356715887692</v>
      </c>
      <c r="M25" s="18">
        <f>MEDIAN(H25:H27)</f>
        <v>3.2146226024790261</v>
      </c>
      <c r="N25" s="18">
        <f>_xlfn.STDEV.S(F25:F27)</f>
        <v>5.050280622747227</v>
      </c>
    </row>
    <row r="26" spans="1:17" x14ac:dyDescent="0.35">
      <c r="C26" s="16">
        <v>282.70999999999998</v>
      </c>
      <c r="D26" s="16">
        <f>170/252</f>
        <v>0.67460317460317465</v>
      </c>
      <c r="E26" s="17" cm="1">
        <f t="array" ref="E26">BSF($B$1,$B$2,$B$4,$B$3,D26,0,$E$24)</f>
        <v>371.16705343091962</v>
      </c>
      <c r="F26" s="17">
        <f t="shared" ref="F26:F27" si="11">ABS(E26-C26)/(E26+C26)/2*100</f>
        <v>6.7640432529924288</v>
      </c>
      <c r="G26" s="15">
        <v>321.56</v>
      </c>
      <c r="H26" s="19">
        <f t="shared" ref="H26:H27" si="12">ABS(G26-C26)/(G26+C26)/2*100</f>
        <v>3.2146226024790261</v>
      </c>
      <c r="L26" s="18">
        <f>AVERAGE(F25:F27)</f>
        <v>8.1027862459488986</v>
      </c>
      <c r="M26" s="18">
        <f>MEDIAN(F25:F27)</f>
        <v>6.7640432529924288</v>
      </c>
      <c r="N26" s="18">
        <f>_xlfn.STDEV.S(H25:H27)</f>
        <v>3.7737640601756337</v>
      </c>
    </row>
    <row r="27" spans="1:17" x14ac:dyDescent="0.35">
      <c r="C27" s="16">
        <v>329.3</v>
      </c>
      <c r="D27" s="16">
        <f>425/252</f>
        <v>1.6865079365079365</v>
      </c>
      <c r="E27" s="17" cm="1">
        <f t="array" ref="E27">BSF($B$1,$B$2,$B$4,$B$3,D27,0,$E$24)</f>
        <v>577.55170683262031</v>
      </c>
      <c r="F27" s="17">
        <f t="shared" si="11"/>
        <v>13.687558007675488</v>
      </c>
      <c r="G27" s="15">
        <v>467.88</v>
      </c>
      <c r="H27" s="19">
        <f t="shared" si="12"/>
        <v>8.6918889084021167</v>
      </c>
      <c r="O27" s="18">
        <f>AVERAGE(I7:I13,H16:H22,H25:H27,I35:I41,H44:H54,H57:H59)</f>
        <v>6.4540526925567931</v>
      </c>
      <c r="P27" s="18">
        <f>MEDIAN(I7:I13,H16:H22,H25:H27,I35:I41,H44:H54,H57:H59)</f>
        <v>3.4811702087513963</v>
      </c>
      <c r="Q27" s="18">
        <f>_xlfn.STDEV.S(K7:K13,F16:F22,F25:F27,K35:K41,F44:F54,F57:F59)</f>
        <v>10.671297847673166</v>
      </c>
    </row>
    <row r="28" spans="1:17" x14ac:dyDescent="0.35">
      <c r="O28" s="18">
        <f>AVERAGE(K7:K13,F16:F22,F25:F27,K35:K41,F44:F54,F57:F59)</f>
        <v>10.146785759259307</v>
      </c>
      <c r="P28" s="18">
        <f>MEDIAN(K7:K13,F16:F22,F25:F27,K35:K41,F44:F54,F57:F59)</f>
        <v>6.2434991978196503</v>
      </c>
      <c r="Q28" s="18">
        <f>_xlfn.STDEV.S(I7:I13,H16:H22,H25:H27,I35:I41,H44:H54,H57:H59)</f>
        <v>8.8603160828455128</v>
      </c>
    </row>
    <row r="29" spans="1:17" x14ac:dyDescent="0.35">
      <c r="A29" s="16" t="s">
        <v>26</v>
      </c>
      <c r="B29" s="16">
        <v>2875</v>
      </c>
    </row>
    <row r="30" spans="1:17" x14ac:dyDescent="0.35">
      <c r="A30" s="16" t="s">
        <v>27</v>
      </c>
      <c r="B30" s="16">
        <v>2875</v>
      </c>
      <c r="F30" s="17"/>
    </row>
    <row r="31" spans="1:17" x14ac:dyDescent="0.35">
      <c r="A31" s="16" t="s">
        <v>28</v>
      </c>
      <c r="B31" s="16">
        <v>2.5000000000000001E-3</v>
      </c>
      <c r="F31" s="17"/>
    </row>
    <row r="32" spans="1:17" x14ac:dyDescent="0.35">
      <c r="A32" s="16" t="s">
        <v>29</v>
      </c>
      <c r="B32" s="16">
        <v>0.38150000000000001</v>
      </c>
      <c r="F32" s="17"/>
    </row>
    <row r="33" spans="1:17" x14ac:dyDescent="0.35">
      <c r="A33" s="16" t="s">
        <v>30</v>
      </c>
      <c r="B33" s="16">
        <v>0.16666666666666666</v>
      </c>
      <c r="F33" s="17"/>
    </row>
    <row r="34" spans="1:17" x14ac:dyDescent="0.35">
      <c r="C34" s="19" t="s">
        <v>33</v>
      </c>
      <c r="D34" s="16" t="s">
        <v>31</v>
      </c>
      <c r="E34" s="16" t="s">
        <v>6</v>
      </c>
      <c r="F34" s="15" t="s">
        <v>34</v>
      </c>
      <c r="G34" s="15" t="s">
        <v>35</v>
      </c>
      <c r="H34" s="15" t="s">
        <v>36</v>
      </c>
    </row>
    <row r="35" spans="1:17" x14ac:dyDescent="0.35">
      <c r="B35" s="16">
        <v>15.32</v>
      </c>
      <c r="C35" s="19">
        <v>-11.781510130177566</v>
      </c>
      <c r="D35" s="16">
        <v>2725</v>
      </c>
      <c r="E35" s="17">
        <v>258.16768019247002</v>
      </c>
      <c r="F35" s="19">
        <v>54.781725422006808</v>
      </c>
      <c r="G35" s="15">
        <v>169.99</v>
      </c>
      <c r="H35" s="19">
        <v>57.446825476857569</v>
      </c>
      <c r="I35" s="16">
        <v>41.732772111596802</v>
      </c>
      <c r="J35" s="16">
        <v>167.96151013017757</v>
      </c>
      <c r="K35" s="16">
        <f>ABS(E35-B35)/(E35+B35)/2*100</f>
        <v>44.398285147901959</v>
      </c>
      <c r="L35" s="18">
        <v>14.469196358112001</v>
      </c>
      <c r="M35" s="18">
        <v>10.192797229061473</v>
      </c>
      <c r="N35" s="18">
        <f>_xlfn.STDEV.S(K35:K41)</f>
        <v>14.10533591848773</v>
      </c>
    </row>
    <row r="36" spans="1:17" x14ac:dyDescent="0.35">
      <c r="B36" s="16">
        <v>49.36</v>
      </c>
      <c r="C36" s="19">
        <v>52.286640422725171</v>
      </c>
      <c r="D36" s="16">
        <v>2775</v>
      </c>
      <c r="E36" s="17">
        <v>229.11022545200262</v>
      </c>
      <c r="F36" s="19">
        <v>31.41889737819535</v>
      </c>
      <c r="G36" s="15">
        <v>145.24</v>
      </c>
      <c r="H36" s="19">
        <v>23.529322267200541</v>
      </c>
      <c r="I36" s="16">
        <v>24.635149023638231</v>
      </c>
      <c r="J36" s="16">
        <v>103.89335957727484</v>
      </c>
      <c r="K36" s="16">
        <f t="shared" ref="K36:K41" si="13">ABS(E36-B36)/(E36+B36)/2*100</f>
        <v>32.274586117822594</v>
      </c>
      <c r="L36" s="18">
        <f>AVERAGE(K35:K41)</f>
        <v>20.354107207994947</v>
      </c>
      <c r="M36" s="18">
        <f>MEDIAN(K35:K41)</f>
        <v>17.392009071580919</v>
      </c>
      <c r="N36" s="18">
        <f>_xlfn.STDEV.S(I35:I41)</f>
        <v>14.195140382650486</v>
      </c>
    </row>
    <row r="37" spans="1:17" x14ac:dyDescent="0.35">
      <c r="B37" s="16">
        <v>97.9</v>
      </c>
      <c r="C37" s="19">
        <v>93.010578457205241</v>
      </c>
      <c r="D37" s="16">
        <v>2825</v>
      </c>
      <c r="E37" s="17">
        <v>202.33315516405059</v>
      </c>
      <c r="F37" s="19">
        <v>18.507685158310977</v>
      </c>
      <c r="G37" s="15">
        <v>152.31</v>
      </c>
      <c r="H37" s="19">
        <v>12.086108290572778</v>
      </c>
      <c r="I37" s="16">
        <v>10.872866791894808</v>
      </c>
      <c r="J37" s="16">
        <v>63.169421542794765</v>
      </c>
      <c r="K37" s="16">
        <f t="shared" si="13"/>
        <v>17.392009071580919</v>
      </c>
    </row>
    <row r="38" spans="1:17" x14ac:dyDescent="0.35">
      <c r="B38" s="16">
        <v>156.18</v>
      </c>
      <c r="C38" s="19">
        <v>156.18</v>
      </c>
      <c r="D38" s="16">
        <v>2875</v>
      </c>
      <c r="E38" s="17">
        <v>177.81936330005124</v>
      </c>
      <c r="F38" s="19">
        <v>3.2394318190078883</v>
      </c>
      <c r="G38" s="15">
        <v>160.1</v>
      </c>
      <c r="H38" s="19">
        <v>0.61970405969394016</v>
      </c>
      <c r="I38" s="16">
        <v>0.61970405969394016</v>
      </c>
      <c r="K38" s="16">
        <f t="shared" si="13"/>
        <v>3.2394318190078883</v>
      </c>
    </row>
    <row r="39" spans="1:17" x14ac:dyDescent="0.35">
      <c r="B39" s="16">
        <v>214.55</v>
      </c>
      <c r="C39" s="19">
        <v>213.58412384248243</v>
      </c>
      <c r="D39" s="16">
        <v>2925</v>
      </c>
      <c r="E39" s="17">
        <v>155.52364077945936</v>
      </c>
      <c r="F39" s="19">
        <v>7.8649772001533833</v>
      </c>
      <c r="G39" s="15">
        <v>184.32</v>
      </c>
      <c r="H39" s="19">
        <v>3.6772833063257182</v>
      </c>
      <c r="I39" s="16">
        <v>3.7894552109709956</v>
      </c>
      <c r="J39" s="16">
        <v>57.404123842482427</v>
      </c>
      <c r="K39" s="16">
        <f t="shared" si="13"/>
        <v>7.9749477828544748</v>
      </c>
    </row>
    <row r="40" spans="1:17" x14ac:dyDescent="0.35">
      <c r="B40" s="16">
        <v>264.01</v>
      </c>
      <c r="C40" s="19">
        <v>247.83032984118574</v>
      </c>
      <c r="D40" s="16">
        <v>2975</v>
      </c>
      <c r="E40" s="17">
        <v>135.3757620576207</v>
      </c>
      <c r="F40" s="19">
        <v>14.672857525091358</v>
      </c>
      <c r="G40" s="15">
        <v>180.14</v>
      </c>
      <c r="H40" s="19">
        <v>7.9082970385242328</v>
      </c>
      <c r="I40" s="16">
        <v>9.4416300799279522</v>
      </c>
      <c r="J40" s="16">
        <v>91.650329841185751</v>
      </c>
      <c r="K40" s="16">
        <f t="shared" si="13"/>
        <v>16.104008976141319</v>
      </c>
    </row>
    <row r="41" spans="1:17" x14ac:dyDescent="0.35">
      <c r="B41" s="16">
        <v>288.48</v>
      </c>
      <c r="C41" s="19">
        <v>309.21552762890508</v>
      </c>
      <c r="D41" s="16">
        <v>3025</v>
      </c>
      <c r="E41" s="17">
        <v>117.28418324845961</v>
      </c>
      <c r="F41" s="19">
        <v>22.500759025793716</v>
      </c>
      <c r="G41" s="15">
        <v>190.78</v>
      </c>
      <c r="H41" s="19">
        <v>11.843658701364177</v>
      </c>
      <c r="I41" s="16">
        <v>10.192797229061473</v>
      </c>
      <c r="J41" s="16">
        <v>153.03552762890507</v>
      </c>
      <c r="K41" s="16">
        <f t="shared" si="13"/>
        <v>21.095481540655463</v>
      </c>
    </row>
    <row r="42" spans="1:17" x14ac:dyDescent="0.35">
      <c r="F42" s="17"/>
    </row>
    <row r="43" spans="1:17" x14ac:dyDescent="0.35">
      <c r="C43" s="17" t="s">
        <v>33</v>
      </c>
      <c r="D43" s="16" t="s">
        <v>25</v>
      </c>
      <c r="E43" s="16" t="s">
        <v>6</v>
      </c>
      <c r="F43" s="16" t="s">
        <v>34</v>
      </c>
      <c r="G43" s="15" t="s">
        <v>35</v>
      </c>
      <c r="H43" s="15" t="s">
        <v>36</v>
      </c>
    </row>
    <row r="44" spans="1:17" x14ac:dyDescent="0.35">
      <c r="C44" s="16">
        <v>108.89</v>
      </c>
      <c r="D44" s="16">
        <v>2625</v>
      </c>
      <c r="E44" s="17">
        <v>73.597884530455076</v>
      </c>
      <c r="F44" s="17">
        <v>9.6697146663605196</v>
      </c>
      <c r="G44" s="15">
        <v>88.13</v>
      </c>
      <c r="H44" s="19">
        <v>5.2685006598314912</v>
      </c>
      <c r="L44" s="18">
        <v>1.9553378680982691</v>
      </c>
      <c r="M44" s="18">
        <v>1.3201968167432843</v>
      </c>
      <c r="N44" s="18">
        <f>_xlfn.STDEV.S(F44:F54)</f>
        <v>2.989989018329247</v>
      </c>
      <c r="O44" s="18">
        <v>6.2272379606211459</v>
      </c>
      <c r="P44" s="18">
        <v>1.9977870666338822</v>
      </c>
      <c r="Q44" s="18">
        <f>_xlfn.STDEV.S(K35:K41,F44:F54,F57:F59)</f>
        <v>11.350332703549441</v>
      </c>
    </row>
    <row r="45" spans="1:17" x14ac:dyDescent="0.35">
      <c r="C45" s="16">
        <v>130.44999999999999</v>
      </c>
      <c r="D45" s="16">
        <v>2675</v>
      </c>
      <c r="E45" s="17">
        <v>89.947354617002134</v>
      </c>
      <c r="F45" s="17">
        <v>9.1885507095540611</v>
      </c>
      <c r="G45" s="15">
        <v>102.34</v>
      </c>
      <c r="H45" s="19">
        <v>6.0376304824090354</v>
      </c>
      <c r="L45" s="18">
        <f>AVERAGE(F44:F54)</f>
        <v>3.4978639869121917</v>
      </c>
      <c r="M45" s="18">
        <f>MEDIAN(F44:F54)</f>
        <v>2.1425893108951097</v>
      </c>
      <c r="N45" s="18">
        <f>_xlfn.STDEV.S(H44:H54)</f>
        <v>1.8779597056959509</v>
      </c>
      <c r="O45" s="18">
        <f>AVERAGE(K35:K41,F44:F54,F57:F59)</f>
        <v>9.3011047584283766</v>
      </c>
      <c r="P45" s="18">
        <f>MEDIAN(K35:K41,F44:F54,F57:F59)</f>
        <v>3.2394318190078883</v>
      </c>
      <c r="Q45" s="18">
        <f>_xlfn.STDEV.S(I35:I41,H44:H54,H57:H59)</f>
        <v>9.9081866768029236</v>
      </c>
    </row>
    <row r="46" spans="1:17" x14ac:dyDescent="0.35">
      <c r="C46" s="16">
        <v>117.6</v>
      </c>
      <c r="D46" s="16">
        <v>2725</v>
      </c>
      <c r="E46" s="17">
        <v>108.51382645338651</v>
      </c>
      <c r="F46" s="17">
        <v>2.0092034372976744</v>
      </c>
      <c r="G46" s="15">
        <v>111</v>
      </c>
      <c r="H46" s="19">
        <v>1.4435695538057731</v>
      </c>
    </row>
    <row r="47" spans="1:17" x14ac:dyDescent="0.35">
      <c r="C47" s="16">
        <v>121.59</v>
      </c>
      <c r="D47" s="16">
        <v>2775</v>
      </c>
      <c r="E47" s="17">
        <v>129.34329525875228</v>
      </c>
      <c r="F47" s="17">
        <v>1.5448916913870256</v>
      </c>
      <c r="G47" s="15">
        <v>125.88</v>
      </c>
      <c r="H47" s="19">
        <v>0.86677172990665374</v>
      </c>
    </row>
    <row r="48" spans="1:17" x14ac:dyDescent="0.35">
      <c r="C48" s="16">
        <v>136.4</v>
      </c>
      <c r="D48" s="16">
        <v>2825</v>
      </c>
      <c r="E48" s="17">
        <v>152.45037450705127</v>
      </c>
      <c r="F48" s="17">
        <v>2.7783198367740813</v>
      </c>
      <c r="G48" s="15">
        <v>142.01</v>
      </c>
      <c r="H48" s="19">
        <v>1.0075069142631345</v>
      </c>
    </row>
    <row r="49" spans="3:14" x14ac:dyDescent="0.35">
      <c r="C49" s="16">
        <v>156.18</v>
      </c>
      <c r="D49" s="16">
        <v>2875</v>
      </c>
      <c r="E49" s="17">
        <v>177.81936330005124</v>
      </c>
      <c r="F49" s="17">
        <v>3.2394318190078883</v>
      </c>
      <c r="G49" s="15">
        <v>169.18</v>
      </c>
      <c r="H49" s="19">
        <v>1.9977870666338822</v>
      </c>
    </row>
    <row r="50" spans="3:14" x14ac:dyDescent="0.35">
      <c r="C50" s="16">
        <v>195.9</v>
      </c>
      <c r="D50" s="16">
        <v>2925</v>
      </c>
      <c r="E50" s="17">
        <v>205.4064137736882</v>
      </c>
      <c r="F50" s="17">
        <v>1.1844333216973228</v>
      </c>
      <c r="G50" s="15">
        <v>201.92</v>
      </c>
      <c r="H50" s="19">
        <v>0.75662359861243556</v>
      </c>
    </row>
    <row r="51" spans="3:14" x14ac:dyDescent="0.35">
      <c r="C51" s="16">
        <v>210.73</v>
      </c>
      <c r="D51" s="16">
        <v>2975</v>
      </c>
      <c r="E51" s="17">
        <v>235.14257092883759</v>
      </c>
      <c r="F51" s="17">
        <v>2.7376174854153454</v>
      </c>
      <c r="G51" s="15">
        <v>222.16</v>
      </c>
      <c r="H51" s="19">
        <v>1.3201968167432843</v>
      </c>
    </row>
    <row r="52" spans="3:14" x14ac:dyDescent="0.35">
      <c r="C52" s="16">
        <v>245</v>
      </c>
      <c r="D52" s="16">
        <v>3025</v>
      </c>
      <c r="E52" s="17">
        <v>266.93743345537109</v>
      </c>
      <c r="F52" s="17">
        <v>2.1425893108951097</v>
      </c>
      <c r="G52" s="15">
        <v>252</v>
      </c>
      <c r="H52" s="19">
        <v>0.70422535211267612</v>
      </c>
    </row>
    <row r="53" spans="3:14" x14ac:dyDescent="0.35">
      <c r="C53" s="16">
        <v>325.3</v>
      </c>
      <c r="D53" s="16">
        <v>3075</v>
      </c>
      <c r="E53" s="17">
        <v>300.68318256906286</v>
      </c>
      <c r="F53" s="17">
        <v>1.9662522984969528</v>
      </c>
      <c r="G53" s="15">
        <v>316.27</v>
      </c>
      <c r="H53" s="19">
        <v>0.70374238196923411</v>
      </c>
    </row>
    <row r="54" spans="3:14" x14ac:dyDescent="0.35">
      <c r="C54" s="16">
        <v>310.2</v>
      </c>
      <c r="D54" s="16">
        <v>3125</v>
      </c>
      <c r="E54" s="17">
        <v>336.25874259394186</v>
      </c>
      <c r="F54" s="17">
        <v>2.0154992791481257</v>
      </c>
      <c r="G54" s="15">
        <v>328.1</v>
      </c>
      <c r="H54" s="19">
        <v>1.40216199279336</v>
      </c>
    </row>
    <row r="56" spans="3:14" x14ac:dyDescent="0.35">
      <c r="C56" s="17" t="s">
        <v>33</v>
      </c>
      <c r="D56" s="16" t="s">
        <v>32</v>
      </c>
      <c r="E56" s="16" t="s">
        <v>6</v>
      </c>
      <c r="F56" s="16" t="s">
        <v>34</v>
      </c>
      <c r="G56" s="15" t="s">
        <v>35</v>
      </c>
      <c r="H56" s="15" t="s">
        <v>36</v>
      </c>
    </row>
    <row r="57" spans="3:14" x14ac:dyDescent="0.35">
      <c r="C57" s="16">
        <v>156.18</v>
      </c>
      <c r="D57" s="16">
        <v>0.16666666666666666</v>
      </c>
      <c r="E57" s="17">
        <v>177.81936330005124</v>
      </c>
      <c r="F57" s="17">
        <v>3.2394318190078883</v>
      </c>
      <c r="G57" s="15">
        <v>166.09</v>
      </c>
      <c r="H57" s="19">
        <v>1.5375306420082535</v>
      </c>
      <c r="L57" s="18">
        <v>2.6596353723929695</v>
      </c>
      <c r="M57" s="18">
        <v>2.0285783093842804</v>
      </c>
      <c r="N57" s="18">
        <f>_xlfn.STDEV.S(F57:F59)</f>
        <v>1.8348410202882433</v>
      </c>
    </row>
    <row r="58" spans="3:14" x14ac:dyDescent="0.35">
      <c r="C58" s="16">
        <v>298.79000000000002</v>
      </c>
      <c r="D58" s="16">
        <v>0.67460317460317465</v>
      </c>
      <c r="E58" s="17">
        <v>355.20694488432241</v>
      </c>
      <c r="F58" s="17">
        <v>4.3132422349695609</v>
      </c>
      <c r="G58" s="15">
        <v>324.06</v>
      </c>
      <c r="H58" s="19">
        <v>2.0285783093842804</v>
      </c>
      <c r="L58" s="18">
        <f>AVERAGE(F57:F59)</f>
        <v>4.7893152049990677</v>
      </c>
      <c r="M58" s="18">
        <f>MEDIAN(F57:F59)</f>
        <v>4.3132422349695609</v>
      </c>
      <c r="N58" s="18">
        <f>_xlfn.STDEV.S(H57:H59)</f>
        <v>1.5380065533896934</v>
      </c>
    </row>
    <row r="59" spans="3:14" x14ac:dyDescent="0.35">
      <c r="C59" s="16">
        <v>422.06</v>
      </c>
      <c r="D59" s="16">
        <v>1.6865079365079365</v>
      </c>
      <c r="E59" s="17">
        <v>555.27623726815409</v>
      </c>
      <c r="F59" s="17">
        <v>6.8152715610197534</v>
      </c>
      <c r="G59" s="15">
        <v>503.77</v>
      </c>
      <c r="H59" s="19">
        <v>4.4127971657863743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45FB-01C1-4326-9C9B-66D67D415B7F}">
  <sheetPr codeName="Sheet2"/>
  <dimension ref="A1:P31"/>
  <sheetViews>
    <sheetView zoomScale="85" zoomScaleNormal="85" workbookViewId="0">
      <selection activeCell="Q22" sqref="Q22"/>
    </sheetView>
  </sheetViews>
  <sheetFormatPr defaultRowHeight="14.5" x14ac:dyDescent="0.35"/>
  <cols>
    <col min="1" max="16384" width="8.7265625" style="16"/>
  </cols>
  <sheetData>
    <row r="1" spans="1:16" x14ac:dyDescent="0.35">
      <c r="A1" s="16" t="s">
        <v>26</v>
      </c>
      <c r="B1" s="16">
        <v>2875</v>
      </c>
    </row>
    <row r="2" spans="1:16" x14ac:dyDescent="0.35">
      <c r="A2" s="16" t="s">
        <v>27</v>
      </c>
      <c r="B2" s="16">
        <v>2875</v>
      </c>
      <c r="F2" s="17"/>
    </row>
    <row r="3" spans="1:16" x14ac:dyDescent="0.35">
      <c r="A3" s="16" t="s">
        <v>28</v>
      </c>
      <c r="B3" s="16">
        <v>2.5000000000000001E-3</v>
      </c>
      <c r="F3" s="17"/>
    </row>
    <row r="4" spans="1:16" x14ac:dyDescent="0.35">
      <c r="A4" s="16" t="s">
        <v>29</v>
      </c>
      <c r="B4" s="16">
        <v>0.38150000000000001</v>
      </c>
      <c r="F4" s="17"/>
    </row>
    <row r="5" spans="1:16" x14ac:dyDescent="0.35">
      <c r="A5" s="16" t="s">
        <v>30</v>
      </c>
      <c r="B5" s="16">
        <f>42/252</f>
        <v>0.16666666666666666</v>
      </c>
      <c r="F5" s="17"/>
    </row>
    <row r="6" spans="1:16" x14ac:dyDescent="0.35">
      <c r="C6" s="19" t="s">
        <v>33</v>
      </c>
      <c r="D6" s="16" t="s">
        <v>31</v>
      </c>
      <c r="E6" s="16" t="s">
        <v>6</v>
      </c>
      <c r="F6" s="15" t="s">
        <v>34</v>
      </c>
      <c r="G6" s="15" t="s">
        <v>35</v>
      </c>
      <c r="H6" s="15" t="s">
        <v>36</v>
      </c>
    </row>
    <row r="7" spans="1:16" x14ac:dyDescent="0.35">
      <c r="B7" s="16">
        <v>15.32</v>
      </c>
      <c r="C7" s="19">
        <f ca="1">$C$10-J7</f>
        <v>17.322657874413892</v>
      </c>
      <c r="D7" s="16">
        <v>2725</v>
      </c>
      <c r="E7" s="17" cm="1">
        <f t="array" ref="E7">BSF(D7,$B$2,$B$4,$B$3,$B$5,0,$E$6)</f>
        <v>258.16768019247002</v>
      </c>
      <c r="F7" s="19">
        <f ca="1">ABS(E7-C7)/(E7+C7)/2*100</f>
        <v>43.712063371816591</v>
      </c>
      <c r="G7" s="15">
        <v>169.99</v>
      </c>
      <c r="H7" s="19">
        <f ca="1">ABS(G7-C7)/(G7+C7)/2*100</f>
        <v>40.752008929354858</v>
      </c>
      <c r="I7" s="16">
        <f>ABS(G7-B7)/(G7+B7)/2*100</f>
        <v>41.732772111596788</v>
      </c>
      <c r="J7" s="16">
        <f t="shared" ref="J7:J8" ca="1" si="0">NORMINV(RAND(),$D$10-D7,7.5)</f>
        <v>138.85734212558611</v>
      </c>
      <c r="L7" s="18">
        <f>AVERAGE(I7:I13)</f>
        <v>14.469196358112027</v>
      </c>
      <c r="M7" s="18">
        <f>MEDIAN(I7:I13)</f>
        <v>10.192797229061473</v>
      </c>
    </row>
    <row r="8" spans="1:16" x14ac:dyDescent="0.35">
      <c r="B8" s="16">
        <v>49.36</v>
      </c>
      <c r="C8" s="19">
        <f t="shared" ref="C8" ca="1" si="1">$C$10-J8</f>
        <v>49.474589104190116</v>
      </c>
      <c r="D8" s="16">
        <f>D7+50</f>
        <v>2775</v>
      </c>
      <c r="E8" s="17" cm="1">
        <f t="array" ref="E8">BSF(D8,$B$2,$B$4,$B$3,$B$5,0,$E$6)</f>
        <v>229.11022545200262</v>
      </c>
      <c r="F8" s="19">
        <f t="shared" ref="F8:F13" ca="1" si="2">ABS(E8-C8)/(E8+C8)/2*100</f>
        <v>32.240744463043697</v>
      </c>
      <c r="G8" s="15">
        <v>145.24</v>
      </c>
      <c r="H8" s="19">
        <f ca="1">ABS(G8-C8)/(G8+C8)/2*100</f>
        <v>24.591226403833215</v>
      </c>
      <c r="I8" s="16">
        <f t="shared" ref="I8:I13" si="3">ABS(G8-B8)/(G8+B8)/2*100</f>
        <v>24.635149023638231</v>
      </c>
      <c r="J8" s="16">
        <f t="shared" ca="1" si="0"/>
        <v>106.70541089580989</v>
      </c>
    </row>
    <row r="9" spans="1:16" x14ac:dyDescent="0.35">
      <c r="B9" s="16">
        <v>97.9</v>
      </c>
      <c r="C9" s="19">
        <f ca="1">$C$10-J9</f>
        <v>100.11104382802193</v>
      </c>
      <c r="D9" s="16">
        <f t="shared" ref="D9:D13" si="4">D8+50</f>
        <v>2825</v>
      </c>
      <c r="E9" s="17" cm="1">
        <f t="array" ref="E9">BSF(D9,$B$2,$B$4,$B$3,$B$5,0,$E$6)</f>
        <v>202.33315516405059</v>
      </c>
      <c r="F9" s="19">
        <f t="shared" ca="1" si="2"/>
        <v>16.899334104719934</v>
      </c>
      <c r="G9" s="15">
        <v>152.31</v>
      </c>
      <c r="H9" s="19">
        <f t="shared" ref="H9:H13" ca="1" si="5">ABS(G9-C9)/(G9+C9)/2*100</f>
        <v>10.33966015280841</v>
      </c>
      <c r="I9" s="16">
        <f t="shared" si="3"/>
        <v>10.872866791894808</v>
      </c>
      <c r="J9" s="16">
        <f ca="1">NORMINV(RAND(),$D$10-D9,7.5)</f>
        <v>56.068956171978073</v>
      </c>
    </row>
    <row r="10" spans="1:16" x14ac:dyDescent="0.35">
      <c r="B10" s="16">
        <v>156.18</v>
      </c>
      <c r="C10" s="19">
        <f>C21</f>
        <v>156.18</v>
      </c>
      <c r="D10" s="16">
        <f t="shared" si="4"/>
        <v>2875</v>
      </c>
      <c r="E10" s="17" cm="1">
        <f t="array" ref="E10">BSF(D10,$B$2,$B$4,$B$3,$B$5,0,$E$6)</f>
        <v>177.81936330005124</v>
      </c>
      <c r="F10" s="19">
        <f t="shared" si="2"/>
        <v>3.2394318190078883</v>
      </c>
      <c r="G10" s="15">
        <v>160.1</v>
      </c>
      <c r="H10" s="19">
        <f t="shared" si="5"/>
        <v>0.61970405969394016</v>
      </c>
      <c r="I10" s="16">
        <f t="shared" si="3"/>
        <v>0.61970405969394016</v>
      </c>
    </row>
    <row r="11" spans="1:16" x14ac:dyDescent="0.35">
      <c r="B11" s="16">
        <v>214.55</v>
      </c>
      <c r="C11" s="19">
        <f ca="1">$C$10+J11</f>
        <v>204.42326383714988</v>
      </c>
      <c r="D11" s="16">
        <f t="shared" si="4"/>
        <v>2925</v>
      </c>
      <c r="E11" s="17" cm="1">
        <f t="array" ref="E11">BSF(D11,$B$2,$B$4,$B$3,$B$5,0,$E$6)</f>
        <v>155.52364077945936</v>
      </c>
      <c r="F11" s="19">
        <f t="shared" ca="1" si="2"/>
        <v>6.792616137340457</v>
      </c>
      <c r="G11" s="15">
        <v>184.32</v>
      </c>
      <c r="H11" s="19">
        <f t="shared" ca="1" si="5"/>
        <v>2.5856735932498922</v>
      </c>
      <c r="I11" s="16">
        <f t="shared" si="3"/>
        <v>3.7894552109709956</v>
      </c>
      <c r="J11" s="16">
        <f ca="1">NORMINV(RAND(),D11-$D$10,7.5)</f>
        <v>48.243263837149854</v>
      </c>
    </row>
    <row r="12" spans="1:16" x14ac:dyDescent="0.35">
      <c r="B12" s="16">
        <v>264.01</v>
      </c>
      <c r="C12" s="19">
        <f t="shared" ref="C12:C13" ca="1" si="6">$C$10+J12</f>
        <v>268.14657767631036</v>
      </c>
      <c r="D12" s="16">
        <f t="shared" si="4"/>
        <v>2975</v>
      </c>
      <c r="E12" s="17" cm="1">
        <f t="array" ref="E12">BSF(D12,$B$2,$B$4,$B$3,$B$5,0,$E$6)</f>
        <v>135.3757620576207</v>
      </c>
      <c r="F12" s="19">
        <f t="shared" ca="1" si="2"/>
        <v>16.451482674569419</v>
      </c>
      <c r="G12" s="15">
        <v>180.14</v>
      </c>
      <c r="H12" s="19">
        <f t="shared" ca="1" si="5"/>
        <v>9.8158836399353877</v>
      </c>
      <c r="I12" s="16">
        <f t="shared" si="3"/>
        <v>9.4416300799279522</v>
      </c>
      <c r="J12" s="16">
        <f t="shared" ref="J12:J13" ca="1" si="7">NORMINV(RAND(),D12-$D$10,7.5)</f>
        <v>111.96657767631037</v>
      </c>
    </row>
    <row r="13" spans="1:16" x14ac:dyDescent="0.35">
      <c r="B13" s="16">
        <v>288.48</v>
      </c>
      <c r="C13" s="19">
        <f t="shared" ca="1" si="6"/>
        <v>300.1682850531102</v>
      </c>
      <c r="D13" s="16">
        <f t="shared" si="4"/>
        <v>3025</v>
      </c>
      <c r="E13" s="17" cm="1">
        <f t="array" ref="E13">BSF(D13,$B$2,$B$4,$B$3,$B$5,0,$E$6)</f>
        <v>117.28418324845961</v>
      </c>
      <c r="F13" s="19">
        <f t="shared" ca="1" si="2"/>
        <v>21.904781465148048</v>
      </c>
      <c r="G13" s="15">
        <v>190.78</v>
      </c>
      <c r="H13" s="19">
        <f t="shared" ca="1" si="5"/>
        <v>11.140509946101217</v>
      </c>
      <c r="I13" s="16">
        <f t="shared" si="3"/>
        <v>10.192797229061473</v>
      </c>
      <c r="J13" s="16">
        <f t="shared" ca="1" si="7"/>
        <v>143.98828505311019</v>
      </c>
    </row>
    <row r="14" spans="1:16" x14ac:dyDescent="0.35">
      <c r="F14" s="17"/>
    </row>
    <row r="15" spans="1:16" x14ac:dyDescent="0.35">
      <c r="C15" s="17" t="s">
        <v>33</v>
      </c>
      <c r="D15" s="16" t="s">
        <v>25</v>
      </c>
      <c r="E15" s="16" t="s">
        <v>6</v>
      </c>
      <c r="F15" s="16" t="s">
        <v>34</v>
      </c>
      <c r="G15" s="15" t="s">
        <v>35</v>
      </c>
      <c r="H15" s="15" t="s">
        <v>36</v>
      </c>
    </row>
    <row r="16" spans="1:16" x14ac:dyDescent="0.35">
      <c r="C16" s="16">
        <v>108.89</v>
      </c>
      <c r="D16" s="16">
        <v>2625</v>
      </c>
      <c r="E16" s="17" cm="1">
        <f t="array" ref="E16">BSF($B$1,D16,$B$4,$B$3,$B$5,0,$E$15)</f>
        <v>73.597884530455076</v>
      </c>
      <c r="F16" s="17">
        <f>ABS(E16-C16)/(E16+C16)/2*100</f>
        <v>9.6697146663605196</v>
      </c>
      <c r="G16" s="15">
        <v>88.13</v>
      </c>
      <c r="H16" s="19">
        <f>ABS(G16-C16)/(G16+C16)/2*100</f>
        <v>5.2685006598314912</v>
      </c>
      <c r="L16" s="18">
        <f>AVERAGE(H16:H26)</f>
        <v>1.9553378680982691</v>
      </c>
      <c r="M16" s="18">
        <f>MEDIAN(H16:H26)</f>
        <v>1.3201968167432843</v>
      </c>
      <c r="O16" s="18">
        <f>AVERAGE(I7:I13,H16:H26,H29:H31)</f>
        <v>6.2272379606211459</v>
      </c>
      <c r="P16" s="18">
        <f>MEDIAN(I7:I13,H16:H26,H29:H31)</f>
        <v>1.9977870666338822</v>
      </c>
    </row>
    <row r="17" spans="3:13" x14ac:dyDescent="0.35">
      <c r="C17" s="16">
        <v>130.44999999999999</v>
      </c>
      <c r="D17" s="16">
        <v>2675</v>
      </c>
      <c r="E17" s="17" cm="1">
        <f t="array" ref="E17">BSF($B$1,D17,$B$4,$B$3,$B$5,0,$E$15)</f>
        <v>89.947354617002134</v>
      </c>
      <c r="F17" s="17">
        <f t="shared" ref="F17:F25" si="8">ABS(E17-C17)/(E17+C17)/2*100</f>
        <v>9.1885507095540611</v>
      </c>
      <c r="G17" s="15">
        <v>102.34</v>
      </c>
      <c r="H17" s="19">
        <f t="shared" ref="H17:H25" si="9">ABS(G17-C17)/(G17+C17)/2*100</f>
        <v>6.0376304824090354</v>
      </c>
    </row>
    <row r="18" spans="3:13" x14ac:dyDescent="0.35">
      <c r="C18" s="16">
        <v>117.6</v>
      </c>
      <c r="D18" s="16">
        <v>2725</v>
      </c>
      <c r="E18" s="17" cm="1">
        <f t="array" ref="E18">BSF($B$1,D18,$B$4,$B$3,$B$5,0,$E$15)</f>
        <v>108.51382645338651</v>
      </c>
      <c r="F18" s="17">
        <f t="shared" si="8"/>
        <v>2.0092034372976744</v>
      </c>
      <c r="G18" s="15">
        <v>111</v>
      </c>
      <c r="H18" s="19">
        <f t="shared" si="9"/>
        <v>1.4435695538057731</v>
      </c>
    </row>
    <row r="19" spans="3:13" x14ac:dyDescent="0.35">
      <c r="C19" s="16">
        <v>121.59</v>
      </c>
      <c r="D19" s="16">
        <v>2775</v>
      </c>
      <c r="E19" s="17" cm="1">
        <f t="array" ref="E19">BSF($B$1,D19,$B$4,$B$3,$B$5,0,$E$15)</f>
        <v>129.34329525875228</v>
      </c>
      <c r="F19" s="17">
        <f t="shared" si="8"/>
        <v>1.5448916913870256</v>
      </c>
      <c r="G19" s="15">
        <v>125.88</v>
      </c>
      <c r="H19" s="19">
        <f t="shared" si="9"/>
        <v>0.86677172990665374</v>
      </c>
    </row>
    <row r="20" spans="3:13" x14ac:dyDescent="0.35">
      <c r="C20" s="16">
        <v>136.4</v>
      </c>
      <c r="D20" s="16">
        <v>2825</v>
      </c>
      <c r="E20" s="17" cm="1">
        <f t="array" ref="E20">BSF($B$1,D20,$B$4,$B$3,$B$5,0,$E$15)</f>
        <v>152.45037450705127</v>
      </c>
      <c r="F20" s="17">
        <f t="shared" si="8"/>
        <v>2.7783198367740813</v>
      </c>
      <c r="G20" s="15">
        <v>142.01</v>
      </c>
      <c r="H20" s="19">
        <f t="shared" si="9"/>
        <v>1.0075069142631345</v>
      </c>
    </row>
    <row r="21" spans="3:13" x14ac:dyDescent="0.35">
      <c r="C21" s="16">
        <v>156.18</v>
      </c>
      <c r="D21" s="16">
        <v>2875</v>
      </c>
      <c r="E21" s="17" cm="1">
        <f t="array" ref="E21">BSF($B$1,D21,$B$4,$B$3,$B$5,0,$E$15)</f>
        <v>177.81936330005124</v>
      </c>
      <c r="F21" s="17">
        <f t="shared" si="8"/>
        <v>3.2394318190078883</v>
      </c>
      <c r="G21" s="15">
        <v>169.18</v>
      </c>
      <c r="H21" s="19">
        <f t="shared" si="9"/>
        <v>1.9977870666338822</v>
      </c>
    </row>
    <row r="22" spans="3:13" x14ac:dyDescent="0.35">
      <c r="C22" s="16">
        <v>195.9</v>
      </c>
      <c r="D22" s="16">
        <v>2925</v>
      </c>
      <c r="E22" s="17" cm="1">
        <f t="array" ref="E22">BSF($B$1,D22,$B$4,$B$3,$B$5,0,$E$15)</f>
        <v>205.4064137736882</v>
      </c>
      <c r="F22" s="17">
        <f t="shared" si="8"/>
        <v>1.1844333216973228</v>
      </c>
      <c r="G22" s="15">
        <v>201.92</v>
      </c>
      <c r="H22" s="19">
        <f t="shared" si="9"/>
        <v>0.75662359861243556</v>
      </c>
    </row>
    <row r="23" spans="3:13" x14ac:dyDescent="0.35">
      <c r="C23" s="16">
        <v>210.73</v>
      </c>
      <c r="D23" s="16">
        <v>2975</v>
      </c>
      <c r="E23" s="17" cm="1">
        <f t="array" ref="E23">BSF($B$1,D23,$B$4,$B$3,$B$5,0,$E$15)</f>
        <v>235.14257092883759</v>
      </c>
      <c r="F23" s="17">
        <f t="shared" si="8"/>
        <v>2.7376174854153454</v>
      </c>
      <c r="G23" s="15">
        <v>222.16</v>
      </c>
      <c r="H23" s="19">
        <f t="shared" si="9"/>
        <v>1.3201968167432843</v>
      </c>
    </row>
    <row r="24" spans="3:13" x14ac:dyDescent="0.35">
      <c r="C24" s="16">
        <v>245</v>
      </c>
      <c r="D24" s="16">
        <v>3025</v>
      </c>
      <c r="E24" s="17" cm="1">
        <f t="array" ref="E24">BSF($B$1,D24,$B$4,$B$3,$B$5,0,$E$15)</f>
        <v>266.93743345537109</v>
      </c>
      <c r="F24" s="17">
        <f t="shared" si="8"/>
        <v>2.1425893108951097</v>
      </c>
      <c r="G24" s="15">
        <v>252</v>
      </c>
      <c r="H24" s="19">
        <f t="shared" si="9"/>
        <v>0.70422535211267612</v>
      </c>
    </row>
    <row r="25" spans="3:13" x14ac:dyDescent="0.35">
      <c r="C25" s="16">
        <v>325.3</v>
      </c>
      <c r="D25" s="16">
        <v>3075</v>
      </c>
      <c r="E25" s="17" cm="1">
        <f t="array" ref="E25">BSF($B$1,D25,$B$4,$B$3,$B$5,0,$E$15)</f>
        <v>300.68318256906286</v>
      </c>
      <c r="F25" s="17">
        <f t="shared" si="8"/>
        <v>1.9662522984969528</v>
      </c>
      <c r="G25" s="15">
        <v>316.27</v>
      </c>
      <c r="H25" s="19">
        <f t="shared" si="9"/>
        <v>0.70374238196923411</v>
      </c>
    </row>
    <row r="26" spans="3:13" x14ac:dyDescent="0.35">
      <c r="C26" s="16">
        <v>310.2</v>
      </c>
      <c r="D26" s="16">
        <v>3125</v>
      </c>
      <c r="E26" s="17" cm="1">
        <f t="array" ref="E26">BSF($B$1,D26,$B$4,$B$3,$B$5,0,$E$15)</f>
        <v>336.25874259394186</v>
      </c>
      <c r="F26" s="17">
        <f>ABS(E26-C26)/(E26+C26)/2*100</f>
        <v>2.0154992791481257</v>
      </c>
      <c r="G26" s="15">
        <v>328.1</v>
      </c>
      <c r="H26" s="19">
        <f>ABS(G26-C26)/(G26+C26)/2*100</f>
        <v>1.40216199279336</v>
      </c>
    </row>
    <row r="28" spans="3:13" x14ac:dyDescent="0.35">
      <c r="C28" s="17" t="s">
        <v>33</v>
      </c>
      <c r="D28" s="16" t="s">
        <v>32</v>
      </c>
      <c r="E28" s="16" t="s">
        <v>6</v>
      </c>
      <c r="F28" s="16" t="s">
        <v>34</v>
      </c>
      <c r="G28" s="15" t="s">
        <v>35</v>
      </c>
      <c r="H28" s="15" t="s">
        <v>36</v>
      </c>
    </row>
    <row r="29" spans="3:13" x14ac:dyDescent="0.35">
      <c r="C29" s="16">
        <v>156.18</v>
      </c>
      <c r="D29" s="16">
        <f>42/252</f>
        <v>0.16666666666666666</v>
      </c>
      <c r="E29" s="17" cm="1">
        <f t="array" ref="E29">BSF($B$1,$B$2,$B$4,$B$3,D29,0,$E$28)</f>
        <v>177.81936330005124</v>
      </c>
      <c r="F29" s="17">
        <f>ABS(E29-C29)/(E29+C29)/2*100</f>
        <v>3.2394318190078883</v>
      </c>
      <c r="G29" s="15">
        <v>166.09</v>
      </c>
      <c r="H29" s="19">
        <f>ABS(G29-C29)/(G29+C29)/2*100</f>
        <v>1.5375306420082535</v>
      </c>
      <c r="L29" s="18">
        <f>AVERAGE(H29:H31)</f>
        <v>2.6596353723929695</v>
      </c>
      <c r="M29" s="18">
        <f>MEDIAN(H29:H31)</f>
        <v>2.0285783093842804</v>
      </c>
    </row>
    <row r="30" spans="3:13" x14ac:dyDescent="0.35">
      <c r="C30" s="16">
        <v>298.79000000000002</v>
      </c>
      <c r="D30" s="16">
        <f>170/252</f>
        <v>0.67460317460317465</v>
      </c>
      <c r="E30" s="17" cm="1">
        <f t="array" ref="E30">BSF($B$1,$B$2,$B$4,$B$3,D30,0,$E$28)</f>
        <v>355.20694488432241</v>
      </c>
      <c r="F30" s="17">
        <f t="shared" ref="F30:F31" si="10">ABS(E30-C30)/(E30+C30)/2*100</f>
        <v>4.3132422349695609</v>
      </c>
      <c r="G30" s="15">
        <v>324.06</v>
      </c>
      <c r="H30" s="19">
        <f t="shared" ref="H30:H31" si="11">ABS(G30-C30)/(G30+C30)/2*100</f>
        <v>2.0285783093842804</v>
      </c>
    </row>
    <row r="31" spans="3:13" x14ac:dyDescent="0.35">
      <c r="C31" s="16">
        <v>422.06</v>
      </c>
      <c r="D31" s="16">
        <f>425/252</f>
        <v>1.6865079365079365</v>
      </c>
      <c r="E31" s="17" cm="1">
        <f t="array" ref="E31">BSF($B$1,$B$2,$B$4,$B$3,D31,0,$E$28)</f>
        <v>555.27623726815409</v>
      </c>
      <c r="F31" s="17">
        <f t="shared" si="10"/>
        <v>6.8152715610197534</v>
      </c>
      <c r="G31" s="15">
        <v>503.77</v>
      </c>
      <c r="H31" s="19">
        <f t="shared" si="11"/>
        <v>4.4127971657863743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Call</vt:lpstr>
      <vt:lpstr>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 Kai</dc:creator>
  <cp:lastModifiedBy>Shu Kai</cp:lastModifiedBy>
  <dcterms:created xsi:type="dcterms:W3CDTF">2019-06-28T05:03:37Z</dcterms:created>
  <dcterms:modified xsi:type="dcterms:W3CDTF">2020-04-26T10:19:37Z</dcterms:modified>
</cp:coreProperties>
</file>