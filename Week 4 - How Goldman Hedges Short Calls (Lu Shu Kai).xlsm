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 Kai\Desktop\Masters Academics\VBA and Excel Files LinkedIn\"/>
    </mc:Choice>
  </mc:AlternateContent>
  <xr:revisionPtr revIDLastSave="0" documentId="13_ncr:1_{2FD73766-BADE-4FE3-B7A9-AF4918B67078}" xr6:coauthVersionLast="43" xr6:coauthVersionMax="43" xr10:uidLastSave="{00000000-0000-0000-0000-000000000000}"/>
  <bookViews>
    <workbookView xWindow="-110" yWindow="-110" windowWidth="19420" windowHeight="10420" activeTab="1" xr2:uid="{E06EFA1A-A2FC-41CC-95D8-4DE2CBFBA372}"/>
  </bookViews>
  <sheets>
    <sheet name="Dynamic Hedging Exercise" sheetId="2" r:id="rId1"/>
    <sheet name="Dynamic Hedging Solution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1" l="1"/>
  <c r="I8" i="1"/>
  <c r="I7" i="1"/>
  <c r="K8" i="1"/>
  <c r="K7" i="1"/>
  <c r="J10" i="1"/>
  <c r="J9" i="1"/>
  <c r="J7" i="1"/>
  <c r="K30" i="1" l="1"/>
  <c r="D8" i="2" l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B5" i="2"/>
  <c r="E27" i="1" l="1"/>
  <c r="G27" i="1" s="1"/>
  <c r="H27" i="1" s="1"/>
  <c r="E7" i="1" l="1"/>
  <c r="D8" i="1"/>
  <c r="E8" i="1" s="1"/>
  <c r="B5" i="1"/>
  <c r="D9" i="1" l="1"/>
  <c r="G7" i="1"/>
  <c r="H7" i="1" s="1"/>
  <c r="G8" i="1"/>
  <c r="H8" i="1" s="1"/>
  <c r="L7" i="1" l="1"/>
  <c r="L8" i="1" s="1"/>
  <c r="D10" i="1"/>
  <c r="E9" i="1"/>
  <c r="G9" i="1" l="1"/>
  <c r="H9" i="1" s="1"/>
  <c r="I9" i="1" s="1"/>
  <c r="D11" i="1"/>
  <c r="E10" i="1"/>
  <c r="K9" i="1" l="1"/>
  <c r="L9" i="1" s="1"/>
  <c r="G10" i="1"/>
  <c r="H10" i="1" s="1"/>
  <c r="I10" i="1" s="1"/>
  <c r="D12" i="1"/>
  <c r="E11" i="1"/>
  <c r="K10" i="1" l="1"/>
  <c r="L10" i="1" s="1"/>
  <c r="G11" i="1"/>
  <c r="H11" i="1" s="1"/>
  <c r="I11" i="1" s="1"/>
  <c r="J11" i="1" s="1"/>
  <c r="D13" i="1"/>
  <c r="E12" i="1"/>
  <c r="D14" i="1" l="1"/>
  <c r="E13" i="1"/>
  <c r="K11" i="1"/>
  <c r="L11" i="1" s="1"/>
  <c r="G12" i="1"/>
  <c r="H12" i="1" s="1"/>
  <c r="I12" i="1" s="1"/>
  <c r="J12" i="1" s="1"/>
  <c r="G13" i="1" l="1"/>
  <c r="H13" i="1" s="1"/>
  <c r="I13" i="1" s="1"/>
  <c r="J13" i="1" s="1"/>
  <c r="D15" i="1"/>
  <c r="E14" i="1"/>
  <c r="K12" i="1"/>
  <c r="L12" i="1" s="1"/>
  <c r="K13" i="1" l="1"/>
  <c r="L13" i="1" s="1"/>
  <c r="G14" i="1"/>
  <c r="H14" i="1" s="1"/>
  <c r="I14" i="1" s="1"/>
  <c r="J14" i="1" s="1"/>
  <c r="D16" i="1"/>
  <c r="E15" i="1"/>
  <c r="D17" i="1" l="1"/>
  <c r="E16" i="1"/>
  <c r="G15" i="1"/>
  <c r="H15" i="1" s="1"/>
  <c r="I15" i="1" s="1"/>
  <c r="J15" i="1" s="1"/>
  <c r="K14" i="1"/>
  <c r="L14" i="1" s="1"/>
  <c r="K15" i="1" s="1"/>
  <c r="L15" i="1" s="1"/>
  <c r="G16" i="1" l="1"/>
  <c r="H16" i="1" s="1"/>
  <c r="I16" i="1" s="1"/>
  <c r="J16" i="1" s="1"/>
  <c r="K16" i="1" s="1"/>
  <c r="L16" i="1" s="1"/>
  <c r="D18" i="1"/>
  <c r="E17" i="1"/>
  <c r="D19" i="1" l="1"/>
  <c r="E18" i="1"/>
  <c r="G17" i="1"/>
  <c r="H17" i="1" s="1"/>
  <c r="I17" i="1" s="1"/>
  <c r="J17" i="1" s="1"/>
  <c r="K17" i="1" s="1"/>
  <c r="L17" i="1" s="1"/>
  <c r="G18" i="1" l="1"/>
  <c r="H18" i="1" s="1"/>
  <c r="I18" i="1" s="1"/>
  <c r="J18" i="1" s="1"/>
  <c r="K18" i="1" s="1"/>
  <c r="L18" i="1" s="1"/>
  <c r="D20" i="1"/>
  <c r="E19" i="1"/>
  <c r="G19" i="1" l="1"/>
  <c r="H19" i="1" s="1"/>
  <c r="I19" i="1" s="1"/>
  <c r="J19" i="1" s="1"/>
  <c r="K19" i="1" s="1"/>
  <c r="L19" i="1" s="1"/>
  <c r="D21" i="1"/>
  <c r="E20" i="1"/>
  <c r="D22" i="1" l="1"/>
  <c r="E21" i="1"/>
  <c r="G20" i="1"/>
  <c r="H20" i="1" s="1"/>
  <c r="I20" i="1" s="1"/>
  <c r="J20" i="1" s="1"/>
  <c r="K20" i="1" s="1"/>
  <c r="L20" i="1" s="1"/>
  <c r="D23" i="1" l="1"/>
  <c r="E22" i="1"/>
  <c r="G21" i="1"/>
  <c r="H21" i="1" s="1"/>
  <c r="I21" i="1" s="1"/>
  <c r="J21" i="1" s="1"/>
  <c r="K21" i="1" s="1"/>
  <c r="L21" i="1" s="1"/>
  <c r="G22" i="1" l="1"/>
  <c r="H22" i="1" s="1"/>
  <c r="I22" i="1" s="1"/>
  <c r="J22" i="1" s="1"/>
  <c r="K22" i="1" s="1"/>
  <c r="L22" i="1" s="1"/>
  <c r="D24" i="1"/>
  <c r="E23" i="1"/>
  <c r="D25" i="1" l="1"/>
  <c r="E24" i="1"/>
  <c r="G23" i="1"/>
  <c r="H23" i="1" s="1"/>
  <c r="I23" i="1" s="1"/>
  <c r="J23" i="1" s="1"/>
  <c r="K23" i="1" s="1"/>
  <c r="L23" i="1" s="1"/>
  <c r="G24" i="1" l="1"/>
  <c r="H24" i="1" s="1"/>
  <c r="I24" i="1" s="1"/>
  <c r="J24" i="1" s="1"/>
  <c r="K24" i="1" s="1"/>
  <c r="L24" i="1" s="1"/>
  <c r="D26" i="1"/>
  <c r="E25" i="1"/>
  <c r="D27" i="1" l="1"/>
  <c r="E26" i="1"/>
  <c r="G25" i="1"/>
  <c r="H25" i="1" s="1"/>
  <c r="I25" i="1" s="1"/>
  <c r="J25" i="1" s="1"/>
  <c r="K25" i="1" s="1"/>
  <c r="L25" i="1" s="1"/>
  <c r="G26" i="1" l="1"/>
  <c r="H26" i="1" s="1"/>
  <c r="I26" i="1" l="1"/>
  <c r="J26" i="1" s="1"/>
  <c r="K26" i="1" s="1"/>
  <c r="L26" i="1" s="1"/>
  <c r="I27" i="1"/>
  <c r="J27" i="1" l="1"/>
  <c r="I28" i="1"/>
  <c r="K27" i="1"/>
  <c r="K29" i="1" s="1"/>
  <c r="K31" i="1" s="1"/>
  <c r="L27" i="1" l="1"/>
</calcChain>
</file>

<file path=xl/sharedStrings.xml><?xml version="1.0" encoding="utf-8"?>
<sst xmlns="http://schemas.openxmlformats.org/spreadsheetml/2006/main" count="52" uniqueCount="30">
  <si>
    <t>Stock Price</t>
  </si>
  <si>
    <t>Strike Price</t>
  </si>
  <si>
    <t>Risk-free Rate</t>
  </si>
  <si>
    <t>Volatility</t>
  </si>
  <si>
    <t>TTM</t>
  </si>
  <si>
    <t>TTM (Yrs)</t>
  </si>
  <si>
    <t>Week</t>
  </si>
  <si>
    <t>Shares Purchased</t>
  </si>
  <si>
    <t>Cost of Shares Purchased</t>
  </si>
  <si>
    <t>Cumulative Cash Outflow</t>
  </si>
  <si>
    <t>d1</t>
  </si>
  <si>
    <t>Delta, N(d1)</t>
  </si>
  <si>
    <t>Long</t>
  </si>
  <si>
    <t>Interest Cost (Weekly)</t>
  </si>
  <si>
    <t>The Option characteristics are to your left.</t>
  </si>
  <si>
    <r>
      <rPr>
        <b/>
        <sz val="11"/>
        <color theme="1"/>
        <rFont val="Calibri"/>
        <family val="2"/>
        <scheme val="minor"/>
      </rPr>
      <t>Say:</t>
    </r>
    <r>
      <rPr>
        <sz val="11"/>
        <color theme="1"/>
        <rFont val="Calibri"/>
        <family val="2"/>
        <scheme val="minor"/>
      </rPr>
      <t xml:space="preserve"> Goldman Sachs Shorted 100 000 Call Options and wanted to do Dynamic Hedging with the Underlying (Shares).</t>
    </r>
  </si>
  <si>
    <t>↑</t>
  </si>
  <si>
    <t>It becomes apparent that the Option holder will exercise at Strike = 50.</t>
  </si>
  <si>
    <t>Goldman PnL</t>
  </si>
  <si>
    <t>Value of Calls Sold</t>
  </si>
  <si>
    <t>PnL From Exercise + Hedge</t>
  </si>
  <si>
    <t>Here we receive 50*100 000 from selling our 100 000 Shares.</t>
  </si>
  <si>
    <t>This is the amount we got from selling Calls initially.</t>
  </si>
  <si>
    <t>This is Goldman's total PnL!</t>
  </si>
  <si>
    <t>We assume we borrow money (@5% Interest) to Long Hedge.</t>
  </si>
  <si>
    <t>So why is Goldman losing money?</t>
  </si>
  <si>
    <r>
      <t xml:space="preserve">Because as Goldman is Dynamically Delta-Hedging, he tends to </t>
    </r>
    <r>
      <rPr>
        <i/>
        <sz val="11"/>
        <color theme="1"/>
        <rFont val="Calibri"/>
        <family val="2"/>
        <scheme val="minor"/>
      </rPr>
      <t>GO LONG ON HEDGE WHEN STOCK PRICE FALLS</t>
    </r>
    <r>
      <rPr>
        <sz val="11"/>
        <color theme="1"/>
        <rFont val="Calibri"/>
        <family val="2"/>
        <scheme val="minor"/>
      </rPr>
      <t xml:space="preserve"> and </t>
    </r>
    <r>
      <rPr>
        <i/>
        <sz val="11"/>
        <color theme="1"/>
        <rFont val="Calibri"/>
        <family val="2"/>
        <scheme val="minor"/>
      </rPr>
      <t>GO SHORT ON HEDGE WHEN STOCK PRICE RISES</t>
    </r>
    <r>
      <rPr>
        <sz val="11"/>
        <color theme="1"/>
        <rFont val="Calibri"/>
        <family val="2"/>
        <scheme val="minor"/>
      </rPr>
      <t>.</t>
    </r>
  </si>
  <si>
    <r>
      <t>This becomes a "</t>
    </r>
    <r>
      <rPr>
        <i/>
        <sz val="11"/>
        <color theme="1"/>
        <rFont val="Calibri"/>
        <family val="2"/>
        <scheme val="minor"/>
      </rPr>
      <t>BUY-HIGH SELL-LOW</t>
    </r>
    <r>
      <rPr>
        <sz val="11"/>
        <color theme="1"/>
        <rFont val="Calibri"/>
        <family val="2"/>
        <scheme val="minor"/>
      </rPr>
      <t xml:space="preserve">" strategy, which incurs the losses of </t>
    </r>
    <r>
      <rPr>
        <b/>
        <sz val="11"/>
        <color theme="1"/>
        <rFont val="Calibri"/>
        <family val="2"/>
        <scheme val="minor"/>
      </rPr>
      <t>-23 188</t>
    </r>
    <r>
      <rPr>
        <sz val="11"/>
        <color theme="1"/>
        <rFont val="Calibri"/>
        <family val="2"/>
        <scheme val="minor"/>
      </rPr>
      <t xml:space="preserve"> that you see in the highlighted yellow box above.</t>
    </r>
  </si>
  <si>
    <t>QNS: Compute Goldman Sachs' Final PnL assuming Option holder exercises the Call at Week 20 if (S_t &gt; K)</t>
  </si>
  <si>
    <t>In reality, Goldman can price these Options more expensively with "Implied Volatility" vs Observed Volatility here (20%), but that is for another time…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</si>
</sst>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0DDA-6264-4BCC-818F-A4D9B5BA83FC}">
  <sheetPr codeName="Sheet2"/>
  <dimension ref="A1:X31"/>
  <sheetViews>
    <sheetView workbookViewId="0">
      <selection activeCell="J18" sqref="J18"/>
    </sheetView>
  </sheetViews>
  <sheetFormatPr defaultRowHeight="14.5" x14ac:dyDescent="0.35"/>
  <cols>
    <col min="1" max="1" width="12.90625" bestFit="1" customWidth="1"/>
    <col min="4" max="4" width="6.1796875" customWidth="1"/>
    <col min="5" max="5" width="4.6328125" bestFit="1" customWidth="1"/>
    <col min="6" max="6" width="10.08984375" bestFit="1" customWidth="1"/>
    <col min="7" max="7" width="5.1796875" customWidth="1"/>
    <col min="8" max="8" width="11.1796875" bestFit="1" customWidth="1"/>
    <col min="9" max="9" width="15.81640625" bestFit="1" customWidth="1"/>
    <col min="10" max="10" width="23.7265625" bestFit="1" customWidth="1"/>
    <col min="11" max="11" width="22.7265625" bestFit="1" customWidth="1"/>
    <col min="12" max="12" width="20.453125" bestFit="1" customWidth="1"/>
  </cols>
  <sheetData>
    <row r="1" spans="1:24" x14ac:dyDescent="0.35">
      <c r="A1" s="6" t="s">
        <v>0</v>
      </c>
      <c r="B1" s="7">
        <v>49</v>
      </c>
    </row>
    <row r="2" spans="1:24" ht="14.5" customHeight="1" x14ac:dyDescent="0.35">
      <c r="A2" s="6" t="s">
        <v>1</v>
      </c>
      <c r="B2" s="7">
        <v>50</v>
      </c>
      <c r="D2" s="3" t="s">
        <v>15</v>
      </c>
      <c r="M2" s="13" t="s">
        <v>28</v>
      </c>
      <c r="N2" s="14"/>
      <c r="O2" s="14"/>
      <c r="P2" s="14"/>
      <c r="Q2" s="14"/>
      <c r="R2" s="14"/>
      <c r="S2" s="14"/>
      <c r="T2" s="14"/>
      <c r="U2" s="14"/>
      <c r="V2" s="14"/>
      <c r="W2" s="14"/>
      <c r="X2" s="15"/>
    </row>
    <row r="3" spans="1:24" ht="14.5" customHeight="1" x14ac:dyDescent="0.35">
      <c r="A3" s="6" t="s">
        <v>2</v>
      </c>
      <c r="B3" s="12">
        <v>0.05</v>
      </c>
      <c r="D3" s="3" t="s">
        <v>14</v>
      </c>
      <c r="M3" s="16"/>
      <c r="N3" s="17"/>
      <c r="O3" s="17"/>
      <c r="P3" s="17"/>
      <c r="Q3" s="17"/>
      <c r="R3" s="17"/>
      <c r="S3" s="17"/>
      <c r="T3" s="17"/>
      <c r="U3" s="17"/>
      <c r="V3" s="17"/>
      <c r="W3" s="17"/>
      <c r="X3" s="18"/>
    </row>
    <row r="4" spans="1:24" x14ac:dyDescent="0.35">
      <c r="A4" s="6" t="s">
        <v>3</v>
      </c>
      <c r="B4" s="12">
        <v>0.2</v>
      </c>
    </row>
    <row r="5" spans="1:24" x14ac:dyDescent="0.35">
      <c r="A5" s="6" t="s">
        <v>5</v>
      </c>
      <c r="B5" s="7">
        <f>20/52</f>
        <v>0.38461538461538464</v>
      </c>
      <c r="I5" s="1" t="s">
        <v>12</v>
      </c>
      <c r="L5" s="1" t="s">
        <v>24</v>
      </c>
    </row>
    <row r="6" spans="1:24" x14ac:dyDescent="0.35">
      <c r="D6" s="2" t="s">
        <v>6</v>
      </c>
      <c r="E6" s="2" t="s">
        <v>4</v>
      </c>
      <c r="F6" s="2" t="s">
        <v>0</v>
      </c>
      <c r="G6" s="2" t="s">
        <v>10</v>
      </c>
      <c r="H6" s="2" t="s">
        <v>11</v>
      </c>
      <c r="I6" s="2" t="s">
        <v>7</v>
      </c>
      <c r="J6" s="2" t="s">
        <v>8</v>
      </c>
      <c r="K6" s="2" t="s">
        <v>9</v>
      </c>
      <c r="L6" s="2" t="s">
        <v>13</v>
      </c>
    </row>
    <row r="7" spans="1:24" x14ac:dyDescent="0.35">
      <c r="D7" s="1">
        <v>0</v>
      </c>
      <c r="F7" s="1">
        <v>49</v>
      </c>
    </row>
    <row r="8" spans="1:24" x14ac:dyDescent="0.35">
      <c r="D8" s="1">
        <f>D7+1</f>
        <v>1</v>
      </c>
      <c r="F8" s="1">
        <v>48.12</v>
      </c>
    </row>
    <row r="9" spans="1:24" x14ac:dyDescent="0.35">
      <c r="D9" s="1">
        <f t="shared" ref="D9:D27" si="0">D8+1</f>
        <v>2</v>
      </c>
      <c r="F9" s="1">
        <v>47.37</v>
      </c>
    </row>
    <row r="10" spans="1:24" x14ac:dyDescent="0.35">
      <c r="D10" s="1">
        <f t="shared" si="0"/>
        <v>3</v>
      </c>
      <c r="F10" s="1">
        <v>50.25</v>
      </c>
    </row>
    <row r="11" spans="1:24" x14ac:dyDescent="0.35">
      <c r="D11" s="1">
        <f t="shared" si="0"/>
        <v>4</v>
      </c>
      <c r="F11" s="1">
        <v>51.75</v>
      </c>
    </row>
    <row r="12" spans="1:24" x14ac:dyDescent="0.35">
      <c r="D12" s="1">
        <f t="shared" si="0"/>
        <v>5</v>
      </c>
      <c r="F12" s="1">
        <v>53.12</v>
      </c>
    </row>
    <row r="13" spans="1:24" x14ac:dyDescent="0.35">
      <c r="D13" s="1">
        <f t="shared" si="0"/>
        <v>6</v>
      </c>
      <c r="F13" s="1">
        <v>53</v>
      </c>
    </row>
    <row r="14" spans="1:24" x14ac:dyDescent="0.35">
      <c r="D14" s="1">
        <f t="shared" si="0"/>
        <v>7</v>
      </c>
      <c r="F14" s="1">
        <v>51.87</v>
      </c>
    </row>
    <row r="15" spans="1:24" x14ac:dyDescent="0.35">
      <c r="D15" s="1">
        <f t="shared" si="0"/>
        <v>8</v>
      </c>
      <c r="F15" s="1">
        <v>51.38</v>
      </c>
    </row>
    <row r="16" spans="1:24" x14ac:dyDescent="0.35">
      <c r="D16" s="1">
        <f t="shared" si="0"/>
        <v>9</v>
      </c>
      <c r="F16" s="1">
        <v>53</v>
      </c>
    </row>
    <row r="17" spans="4:11" x14ac:dyDescent="0.35">
      <c r="D17" s="1">
        <f t="shared" si="0"/>
        <v>10</v>
      </c>
      <c r="F17" s="1">
        <v>49.88</v>
      </c>
    </row>
    <row r="18" spans="4:11" x14ac:dyDescent="0.35">
      <c r="D18" s="1">
        <f t="shared" si="0"/>
        <v>11</v>
      </c>
      <c r="F18" s="1">
        <v>48.5</v>
      </c>
    </row>
    <row r="19" spans="4:11" x14ac:dyDescent="0.35">
      <c r="D19" s="1">
        <f t="shared" si="0"/>
        <v>12</v>
      </c>
      <c r="F19" s="1">
        <v>49.88</v>
      </c>
    </row>
    <row r="20" spans="4:11" x14ac:dyDescent="0.35">
      <c r="D20" s="1">
        <f t="shared" si="0"/>
        <v>13</v>
      </c>
      <c r="F20" s="1">
        <v>50.37</v>
      </c>
    </row>
    <row r="21" spans="4:11" x14ac:dyDescent="0.35">
      <c r="D21" s="1">
        <f t="shared" si="0"/>
        <v>14</v>
      </c>
      <c r="F21" s="1">
        <v>52.13</v>
      </c>
    </row>
    <row r="22" spans="4:11" x14ac:dyDescent="0.35">
      <c r="D22" s="1">
        <f t="shared" si="0"/>
        <v>15</v>
      </c>
      <c r="F22" s="1">
        <v>51.88</v>
      </c>
    </row>
    <row r="23" spans="4:11" x14ac:dyDescent="0.35">
      <c r="D23" s="1">
        <f t="shared" si="0"/>
        <v>16</v>
      </c>
      <c r="F23" s="1">
        <v>52.87</v>
      </c>
    </row>
    <row r="24" spans="4:11" x14ac:dyDescent="0.35">
      <c r="D24" s="1">
        <f t="shared" si="0"/>
        <v>17</v>
      </c>
      <c r="F24" s="1">
        <v>54.87</v>
      </c>
    </row>
    <row r="25" spans="4:11" x14ac:dyDescent="0.35">
      <c r="D25" s="1">
        <f t="shared" si="0"/>
        <v>18</v>
      </c>
      <c r="F25" s="1">
        <v>54.62</v>
      </c>
    </row>
    <row r="26" spans="4:11" x14ac:dyDescent="0.35">
      <c r="D26" s="1">
        <f t="shared" si="0"/>
        <v>19</v>
      </c>
      <c r="F26" s="1">
        <v>55.87</v>
      </c>
    </row>
    <row r="27" spans="4:11" x14ac:dyDescent="0.35">
      <c r="D27" s="1">
        <f t="shared" si="0"/>
        <v>20</v>
      </c>
      <c r="F27" s="1">
        <v>57.25</v>
      </c>
    </row>
    <row r="29" spans="4:11" x14ac:dyDescent="0.35">
      <c r="J29" s="9" t="s">
        <v>20</v>
      </c>
      <c r="K29" s="10"/>
    </row>
    <row r="30" spans="4:11" x14ac:dyDescent="0.35">
      <c r="J30" s="9" t="s">
        <v>19</v>
      </c>
      <c r="K30" s="10"/>
    </row>
    <row r="31" spans="4:11" x14ac:dyDescent="0.35">
      <c r="J31" s="11" t="s">
        <v>18</v>
      </c>
      <c r="K31" s="9"/>
    </row>
  </sheetData>
  <mergeCells count="1">
    <mergeCell ref="M2:X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EAC3D-C258-4FD2-AF37-CA00B9301C6D}">
  <sheetPr codeName="Sheet1"/>
  <dimension ref="A1:L37"/>
  <sheetViews>
    <sheetView tabSelected="1" topLeftCell="B1" workbookViewId="0">
      <selection activeCell="J9" sqref="J9"/>
    </sheetView>
  </sheetViews>
  <sheetFormatPr defaultRowHeight="14.5" x14ac:dyDescent="0.35"/>
  <cols>
    <col min="1" max="1" width="12.90625" style="1" bestFit="1" customWidth="1"/>
    <col min="2" max="3" width="8.7265625" style="1"/>
    <col min="4" max="4" width="6" style="1" bestFit="1" customWidth="1"/>
    <col min="5" max="5" width="11.81640625" style="1" bestFit="1" customWidth="1"/>
    <col min="6" max="6" width="10.08984375" style="1" bestFit="1" customWidth="1"/>
    <col min="7" max="7" width="12.453125" style="1" bestFit="1" customWidth="1"/>
    <col min="8" max="8" width="11.81640625" style="1" bestFit="1" customWidth="1"/>
    <col min="9" max="9" width="15.81640625" style="1" bestFit="1" customWidth="1"/>
    <col min="10" max="10" width="23.7265625" style="1" bestFit="1" customWidth="1"/>
    <col min="11" max="11" width="22.7265625" style="1" bestFit="1" customWidth="1"/>
    <col min="12" max="12" width="20.453125" style="1" bestFit="1" customWidth="1"/>
    <col min="13" max="16384" width="8.7265625" style="1"/>
  </cols>
  <sheetData>
    <row r="1" spans="1:12" x14ac:dyDescent="0.35">
      <c r="A1" s="6" t="s">
        <v>0</v>
      </c>
      <c r="B1" s="7">
        <v>49</v>
      </c>
    </row>
    <row r="2" spans="1:12" x14ac:dyDescent="0.35">
      <c r="A2" s="6" t="s">
        <v>1</v>
      </c>
      <c r="B2" s="7">
        <v>50</v>
      </c>
      <c r="D2" s="3" t="s">
        <v>15</v>
      </c>
    </row>
    <row r="3" spans="1:12" x14ac:dyDescent="0.35">
      <c r="A3" s="6" t="s">
        <v>2</v>
      </c>
      <c r="B3" s="12">
        <v>0.05</v>
      </c>
      <c r="D3" s="3" t="s">
        <v>14</v>
      </c>
    </row>
    <row r="4" spans="1:12" x14ac:dyDescent="0.35">
      <c r="A4" s="6" t="s">
        <v>3</v>
      </c>
      <c r="B4" s="12">
        <v>0.2</v>
      </c>
    </row>
    <row r="5" spans="1:12" x14ac:dyDescent="0.35">
      <c r="A5" s="6" t="s">
        <v>5</v>
      </c>
      <c r="B5" s="7">
        <f>20/52</f>
        <v>0.38461538461538464</v>
      </c>
      <c r="I5" s="1" t="s">
        <v>12</v>
      </c>
      <c r="L5" s="1" t="s">
        <v>24</v>
      </c>
    </row>
    <row r="6" spans="1:12" x14ac:dyDescent="0.35">
      <c r="D6" s="2" t="s">
        <v>6</v>
      </c>
      <c r="E6" s="2" t="s">
        <v>4</v>
      </c>
      <c r="F6" s="2" t="s">
        <v>0</v>
      </c>
      <c r="G6" s="2" t="s">
        <v>10</v>
      </c>
      <c r="H6" s="2" t="s">
        <v>11</v>
      </c>
      <c r="I6" s="2" t="s">
        <v>7</v>
      </c>
      <c r="J6" s="2" t="s">
        <v>8</v>
      </c>
      <c r="K6" s="2" t="s">
        <v>9</v>
      </c>
      <c r="L6" s="2" t="s">
        <v>13</v>
      </c>
    </row>
    <row r="7" spans="1:12" x14ac:dyDescent="0.35">
      <c r="D7" s="1">
        <v>0</v>
      </c>
      <c r="E7" s="1">
        <f>(20-D7)/52</f>
        <v>0.38461538461538464</v>
      </c>
      <c r="F7" s="1">
        <v>49</v>
      </c>
      <c r="G7" s="1">
        <f>(LN(F7/$B$2)+($B$3+$B$4^2/2)*E7)/($B$4*E7^0.5)</f>
        <v>5.4181351923835712E-2</v>
      </c>
      <c r="H7" s="1">
        <f>_xlfn.NORM.S.DIST(G7,1)</f>
        <v>0.52160466106639636</v>
      </c>
      <c r="I7" s="1">
        <f>100000*H7</f>
        <v>52160.466106639637</v>
      </c>
      <c r="J7" s="1">
        <f>I7*F7</f>
        <v>2555862.839225342</v>
      </c>
      <c r="K7" s="1">
        <f>J7</f>
        <v>2555862.839225342</v>
      </c>
      <c r="L7" s="1">
        <f>K7*EXP($B$3*1/52)-K7</f>
        <v>2458.742320548743</v>
      </c>
    </row>
    <row r="8" spans="1:12" x14ac:dyDescent="0.35">
      <c r="D8" s="1">
        <f>D7+1</f>
        <v>1</v>
      </c>
      <c r="E8" s="1">
        <f t="shared" ref="E8:E26" si="0">(20-D8)/52</f>
        <v>0.36538461538461536</v>
      </c>
      <c r="F8" s="1">
        <v>48.12</v>
      </c>
      <c r="G8" s="1">
        <f>(LN(F8/$B$2)+($B$3+$B$4^2/2)*E8)/($B$4*E8^0.5)</f>
        <v>-0.10544923797892143</v>
      </c>
      <c r="H8" s="1">
        <f t="shared" ref="H8:H27" si="1">_xlfn.NORM.S.DIST(G8,1)</f>
        <v>0.45800967377847612</v>
      </c>
      <c r="I8" s="1">
        <f>100000*(H8-H7)</f>
        <v>-6359.4987287920239</v>
      </c>
      <c r="J8" s="1">
        <f>I8*F8</f>
        <v>-306019.07882947219</v>
      </c>
      <c r="K8" s="1">
        <f>SUM($J$7:J8)+SUM($L$6:L7)</f>
        <v>2252302.5027164184</v>
      </c>
      <c r="L8" s="1">
        <f>K8*EXP($B$3*1/52)-K8</f>
        <v>2166.717007312458</v>
      </c>
    </row>
    <row r="9" spans="1:12" x14ac:dyDescent="0.35">
      <c r="D9" s="1">
        <f t="shared" ref="D9:D27" si="2">D8+1</f>
        <v>2</v>
      </c>
      <c r="E9" s="1">
        <f t="shared" si="0"/>
        <v>0.34615384615384615</v>
      </c>
      <c r="F9" s="1">
        <v>47.37</v>
      </c>
      <c r="G9" s="1">
        <f t="shared" ref="G9:G27" si="3">(LN(F9/$B$2)+($B$3+$B$4^2/2)*E9)/($B$4*E9^0.5)</f>
        <v>-0.25327781113570907</v>
      </c>
      <c r="H9" s="1">
        <f t="shared" si="1"/>
        <v>0.40002677068182269</v>
      </c>
      <c r="I9" s="1">
        <f t="shared" ref="I8:I27" si="4">100000*(H9-H8)</f>
        <v>-5798.2903096653436</v>
      </c>
      <c r="J9" s="1">
        <f>I9*F9</f>
        <v>-274665.01196884731</v>
      </c>
      <c r="K9" s="1">
        <f>SUM($J$7:J9)+SUM($L$6:L8)</f>
        <v>1979804.2077548834</v>
      </c>
      <c r="L9" s="1">
        <f t="shared" ref="L9:L27" si="5">K9*EXP($B$3*1/52)-K9</f>
        <v>1904.5734056225047</v>
      </c>
    </row>
    <row r="10" spans="1:12" x14ac:dyDescent="0.35">
      <c r="D10" s="1">
        <f t="shared" si="2"/>
        <v>3</v>
      </c>
      <c r="E10" s="1">
        <f t="shared" si="0"/>
        <v>0.32692307692307693</v>
      </c>
      <c r="F10" s="1">
        <v>50.25</v>
      </c>
      <c r="G10" s="1">
        <f t="shared" si="3"/>
        <v>0.24373494149814423</v>
      </c>
      <c r="H10" s="1">
        <f t="shared" si="1"/>
        <v>0.59628194504883569</v>
      </c>
      <c r="I10" s="1">
        <f t="shared" si="4"/>
        <v>19625.517436701302</v>
      </c>
      <c r="J10" s="1">
        <f>I10*F10</f>
        <v>986182.25119424041</v>
      </c>
      <c r="K10" s="1">
        <f>SUM($J$7:J10)+SUM($L$6:L9)</f>
        <v>2967891.0323547465</v>
      </c>
      <c r="L10" s="1">
        <f t="shared" si="5"/>
        <v>2855.1138081573881</v>
      </c>
    </row>
    <row r="11" spans="1:12" x14ac:dyDescent="0.35">
      <c r="D11" s="1">
        <f t="shared" si="2"/>
        <v>4</v>
      </c>
      <c r="E11" s="1">
        <f t="shared" si="0"/>
        <v>0.30769230769230771</v>
      </c>
      <c r="F11" s="1">
        <v>51.75</v>
      </c>
      <c r="G11" s="1">
        <f t="shared" si="3"/>
        <v>0.50423533862497638</v>
      </c>
      <c r="H11" s="1">
        <f t="shared" si="1"/>
        <v>0.69295199496883053</v>
      </c>
      <c r="I11" s="1">
        <f t="shared" si="4"/>
        <v>9667.0049919994835</v>
      </c>
      <c r="J11" s="1">
        <f t="shared" ref="J7:J27" si="6">I11*F11</f>
        <v>500267.50833597325</v>
      </c>
      <c r="K11" s="1">
        <f>SUM($J$7:J11)+SUM($L$6:L10)</f>
        <v>3471013.654498877</v>
      </c>
      <c r="L11" s="1">
        <f t="shared" si="5"/>
        <v>3339.1182173555717</v>
      </c>
    </row>
    <row r="12" spans="1:12" x14ac:dyDescent="0.35">
      <c r="D12" s="1">
        <f t="shared" si="2"/>
        <v>5</v>
      </c>
      <c r="E12" s="1">
        <f t="shared" si="0"/>
        <v>0.28846153846153844</v>
      </c>
      <c r="F12" s="1">
        <v>53.12</v>
      </c>
      <c r="G12" s="1">
        <f t="shared" si="3"/>
        <v>0.75148843999475479</v>
      </c>
      <c r="H12" s="1">
        <f t="shared" si="1"/>
        <v>0.77382062236526838</v>
      </c>
      <c r="I12" s="1">
        <f t="shared" si="4"/>
        <v>8086.8627396437851</v>
      </c>
      <c r="J12" s="1">
        <f t="shared" si="6"/>
        <v>429574.14872987784</v>
      </c>
      <c r="K12" s="1">
        <f>SUM($J$7:J12)+SUM($L$6:L11)</f>
        <v>3903926.9214461106</v>
      </c>
      <c r="L12" s="1">
        <f t="shared" si="5"/>
        <v>3755.5811645193025</v>
      </c>
    </row>
    <row r="13" spans="1:12" x14ac:dyDescent="0.35">
      <c r="D13" s="1">
        <f t="shared" si="2"/>
        <v>6</v>
      </c>
      <c r="E13" s="1">
        <f t="shared" si="0"/>
        <v>0.26923076923076922</v>
      </c>
      <c r="F13" s="1">
        <v>53</v>
      </c>
      <c r="G13" s="1">
        <f t="shared" si="3"/>
        <v>0.74309933086528213</v>
      </c>
      <c r="H13" s="1">
        <f t="shared" si="1"/>
        <v>0.77128922763199825</v>
      </c>
      <c r="I13" s="1">
        <f t="shared" si="4"/>
        <v>-253.13947332701315</v>
      </c>
      <c r="J13" s="1">
        <f t="shared" si="6"/>
        <v>-13416.392086331696</v>
      </c>
      <c r="K13" s="1">
        <f>SUM($J$7:J13)+SUM($L$6:L12)</f>
        <v>3894266.1105242982</v>
      </c>
      <c r="L13" s="1">
        <f t="shared" si="5"/>
        <v>3746.2874558353797</v>
      </c>
    </row>
    <row r="14" spans="1:12" x14ac:dyDescent="0.35">
      <c r="D14" s="1">
        <f t="shared" si="2"/>
        <v>7</v>
      </c>
      <c r="E14" s="1">
        <f t="shared" si="0"/>
        <v>0.25</v>
      </c>
      <c r="F14" s="1">
        <v>51.87</v>
      </c>
      <c r="G14" s="1">
        <f t="shared" si="3"/>
        <v>0.54217582935162645</v>
      </c>
      <c r="H14" s="1">
        <f t="shared" si="1"/>
        <v>0.70615130773270962</v>
      </c>
      <c r="I14" s="1">
        <f t="shared" si="4"/>
        <v>-6513.7919899288636</v>
      </c>
      <c r="J14" s="1">
        <f t="shared" si="6"/>
        <v>-337870.39051761013</v>
      </c>
      <c r="K14" s="1">
        <f>SUM($J$7:J14)+SUM($L$6:L13)</f>
        <v>3560142.0074625234</v>
      </c>
      <c r="L14" s="1">
        <f t="shared" si="5"/>
        <v>3424.8597720391117</v>
      </c>
    </row>
    <row r="15" spans="1:12" x14ac:dyDescent="0.35">
      <c r="D15" s="1">
        <f t="shared" si="2"/>
        <v>8</v>
      </c>
      <c r="E15" s="1">
        <f t="shared" si="0"/>
        <v>0.23076923076923078</v>
      </c>
      <c r="F15" s="1">
        <v>51.38</v>
      </c>
      <c r="G15" s="1">
        <f t="shared" si="3"/>
        <v>0.45151161092551051</v>
      </c>
      <c r="H15" s="1">
        <f t="shared" si="1"/>
        <v>0.6741895706887665</v>
      </c>
      <c r="I15" s="1">
        <f t="shared" si="4"/>
        <v>-3196.1737043943117</v>
      </c>
      <c r="J15" s="1">
        <f t="shared" si="6"/>
        <v>-164219.40493177975</v>
      </c>
      <c r="K15" s="1">
        <f>SUM($J$7:J15)+SUM($L$6:L14)</f>
        <v>3399347.4623027826</v>
      </c>
      <c r="L15" s="1">
        <f t="shared" si="5"/>
        <v>3270.1752768345177</v>
      </c>
    </row>
    <row r="16" spans="1:12" x14ac:dyDescent="0.35">
      <c r="D16" s="1">
        <f t="shared" si="2"/>
        <v>9</v>
      </c>
      <c r="E16" s="1">
        <f t="shared" si="0"/>
        <v>0.21153846153846154</v>
      </c>
      <c r="F16" s="1">
        <v>53</v>
      </c>
      <c r="G16" s="1">
        <f t="shared" si="3"/>
        <v>0.79442640198302161</v>
      </c>
      <c r="H16" s="1">
        <f t="shared" si="1"/>
        <v>0.78652638047745349</v>
      </c>
      <c r="I16" s="1">
        <f t="shared" si="4"/>
        <v>11233.680978868699</v>
      </c>
      <c r="J16" s="1">
        <f t="shared" si="6"/>
        <v>595385.09188004106</v>
      </c>
      <c r="K16" s="1">
        <f>SUM($J$7:J16)+SUM($L$6:L15)</f>
        <v>3998002.7294596583</v>
      </c>
      <c r="L16" s="1">
        <f t="shared" si="5"/>
        <v>3846.0821753530763</v>
      </c>
    </row>
    <row r="17" spans="4:12" x14ac:dyDescent="0.35">
      <c r="D17" s="1">
        <f t="shared" si="2"/>
        <v>10</v>
      </c>
      <c r="E17" s="1">
        <f t="shared" si="0"/>
        <v>0.19230769230769232</v>
      </c>
      <c r="F17" s="1">
        <v>49.88</v>
      </c>
      <c r="G17" s="1">
        <f t="shared" si="3"/>
        <v>0.12608805349007221</v>
      </c>
      <c r="H17" s="1">
        <f t="shared" si="1"/>
        <v>0.55016888803471664</v>
      </c>
      <c r="I17" s="1">
        <f t="shared" si="4"/>
        <v>-23635.749244273684</v>
      </c>
      <c r="J17" s="1">
        <f t="shared" si="6"/>
        <v>-1178951.1723043714</v>
      </c>
      <c r="K17" s="1">
        <f>SUM($J$7:J17)+SUM($L$6:L16)</f>
        <v>2822897.63933064</v>
      </c>
      <c r="L17" s="1">
        <f t="shared" si="5"/>
        <v>2715.6300353361294</v>
      </c>
    </row>
    <row r="18" spans="4:12" x14ac:dyDescent="0.35">
      <c r="D18" s="1">
        <f t="shared" si="2"/>
        <v>11</v>
      </c>
      <c r="E18" s="1">
        <f t="shared" si="0"/>
        <v>0.17307692307692307</v>
      </c>
      <c r="F18" s="1">
        <v>48.5</v>
      </c>
      <c r="G18" s="1">
        <f t="shared" si="3"/>
        <v>-0.22046531314458825</v>
      </c>
      <c r="H18" s="1">
        <f t="shared" si="1"/>
        <v>0.41275439194481928</v>
      </c>
      <c r="I18" s="1">
        <f t="shared" si="4"/>
        <v>-13741.449608989737</v>
      </c>
      <c r="J18" s="1">
        <f t="shared" si="6"/>
        <v>-666460.30603600224</v>
      </c>
      <c r="K18" s="1">
        <f>SUM($J$7:J18)+SUM($L$6:L17)</f>
        <v>2159152.9633299736</v>
      </c>
      <c r="L18" s="1">
        <f t="shared" si="5"/>
        <v>2077.1070677200332</v>
      </c>
    </row>
    <row r="19" spans="4:12" x14ac:dyDescent="0.35">
      <c r="D19" s="1">
        <f t="shared" si="2"/>
        <v>12</v>
      </c>
      <c r="E19" s="1">
        <f t="shared" si="0"/>
        <v>0.15384615384615385</v>
      </c>
      <c r="F19" s="1">
        <v>49.88</v>
      </c>
      <c r="G19" s="1">
        <f t="shared" si="3"/>
        <v>0.10665040572803332</v>
      </c>
      <c r="H19" s="1">
        <f t="shared" si="1"/>
        <v>0.54246683569861243</v>
      </c>
      <c r="I19" s="1">
        <f t="shared" si="4"/>
        <v>12971.244375379314</v>
      </c>
      <c r="J19" s="1">
        <f t="shared" si="6"/>
        <v>647005.66944392025</v>
      </c>
      <c r="K19" s="1">
        <f>SUM($J$7:J19)+SUM($L$6:L18)</f>
        <v>2808235.7398416139</v>
      </c>
      <c r="L19" s="1">
        <f t="shared" si="5"/>
        <v>2701.5252750101499</v>
      </c>
    </row>
    <row r="20" spans="4:12" x14ac:dyDescent="0.35">
      <c r="D20" s="1">
        <f t="shared" si="2"/>
        <v>13</v>
      </c>
      <c r="E20" s="1">
        <f t="shared" si="0"/>
        <v>0.13461538461538461</v>
      </c>
      <c r="F20" s="1">
        <v>50.37</v>
      </c>
      <c r="G20" s="1">
        <f t="shared" si="3"/>
        <v>0.22888859788762794</v>
      </c>
      <c r="H20" s="1">
        <f t="shared" si="1"/>
        <v>0.59052224854541635</v>
      </c>
      <c r="I20" s="1">
        <f t="shared" si="4"/>
        <v>4805.541284680392</v>
      </c>
      <c r="J20" s="1">
        <f t="shared" si="6"/>
        <v>242055.11450935132</v>
      </c>
      <c r="K20" s="1">
        <f>SUM($J$7:J20)+SUM($L$6:L19)</f>
        <v>3052992.3796259756</v>
      </c>
      <c r="L20" s="1">
        <f t="shared" si="5"/>
        <v>2936.9813797893003</v>
      </c>
    </row>
    <row r="21" spans="4:12" x14ac:dyDescent="0.35">
      <c r="D21" s="1">
        <f t="shared" si="2"/>
        <v>14</v>
      </c>
      <c r="E21" s="1">
        <f t="shared" si="0"/>
        <v>0.11538461538461539</v>
      </c>
      <c r="F21" s="1">
        <v>52.13</v>
      </c>
      <c r="G21" s="1">
        <f t="shared" si="3"/>
        <v>0.73295543592253376</v>
      </c>
      <c r="H21" s="1">
        <f t="shared" si="1"/>
        <v>0.76820719493338296</v>
      </c>
      <c r="I21" s="1">
        <f t="shared" si="4"/>
        <v>17768.494638796663</v>
      </c>
      <c r="J21" s="1">
        <f t="shared" si="6"/>
        <v>926271.62552047009</v>
      </c>
      <c r="K21" s="1">
        <f>SUM($J$7:J21)+SUM($L$6:L20)</f>
        <v>3982200.986526235</v>
      </c>
      <c r="L21" s="1">
        <f t="shared" si="5"/>
        <v>3830.880884621758</v>
      </c>
    </row>
    <row r="22" spans="4:12" x14ac:dyDescent="0.35">
      <c r="D22" s="1">
        <f t="shared" si="2"/>
        <v>15</v>
      </c>
      <c r="E22" s="1">
        <f t="shared" si="0"/>
        <v>9.6153846153846159E-2</v>
      </c>
      <c r="F22" s="1">
        <v>51.88</v>
      </c>
      <c r="G22" s="1">
        <f t="shared" si="3"/>
        <v>0.70369196814749901</v>
      </c>
      <c r="H22" s="1">
        <f t="shared" si="1"/>
        <v>0.75918768834531125</v>
      </c>
      <c r="I22" s="1">
        <f t="shared" si="4"/>
        <v>-901.95065880717129</v>
      </c>
      <c r="J22" s="1">
        <f t="shared" si="6"/>
        <v>-46793.200178916049</v>
      </c>
      <c r="K22" s="1">
        <f>SUM($J$7:J22)+SUM($L$6:L21)</f>
        <v>3939238.6672319407</v>
      </c>
      <c r="L22" s="1">
        <f t="shared" si="5"/>
        <v>3789.5510953166522</v>
      </c>
    </row>
    <row r="23" spans="4:12" x14ac:dyDescent="0.35">
      <c r="D23" s="1">
        <f t="shared" si="2"/>
        <v>16</v>
      </c>
      <c r="E23" s="1">
        <f t="shared" si="0"/>
        <v>7.6923076923076927E-2</v>
      </c>
      <c r="F23" s="1">
        <v>52.87</v>
      </c>
      <c r="G23" s="1">
        <f t="shared" si="3"/>
        <v>1.103256869571748</v>
      </c>
      <c r="H23" s="1">
        <f t="shared" si="1"/>
        <v>0.86504218450473636</v>
      </c>
      <c r="I23" s="1">
        <f t="shared" si="4"/>
        <v>10585.449615942511</v>
      </c>
      <c r="J23" s="1">
        <f t="shared" si="6"/>
        <v>559652.72119488055</v>
      </c>
      <c r="K23" s="1">
        <f>SUM($J$7:J23)+SUM($L$6:L22)</f>
        <v>4502680.9395221379</v>
      </c>
      <c r="L23" s="1">
        <f t="shared" si="5"/>
        <v>4331.5830615097657</v>
      </c>
    </row>
    <row r="24" spans="4:12" x14ac:dyDescent="0.35">
      <c r="D24" s="1">
        <f t="shared" si="2"/>
        <v>17</v>
      </c>
      <c r="E24" s="1">
        <f t="shared" si="0"/>
        <v>5.7692307692307696E-2</v>
      </c>
      <c r="F24" s="1">
        <v>54.87</v>
      </c>
      <c r="G24" s="1">
        <f t="shared" si="3"/>
        <v>2.0188456324228308</v>
      </c>
      <c r="H24" s="1">
        <f t="shared" si="1"/>
        <v>0.97824836675735016</v>
      </c>
      <c r="I24" s="1">
        <f t="shared" si="4"/>
        <v>11320.61822526138</v>
      </c>
      <c r="J24" s="1">
        <f t="shared" si="6"/>
        <v>621162.32202009193</v>
      </c>
      <c r="K24" s="1">
        <f>SUM($J$7:J24)+SUM($L$6:L23)</f>
        <v>5128174.8446037397</v>
      </c>
      <c r="L24" s="1">
        <f t="shared" si="5"/>
        <v>4933.3087535416707</v>
      </c>
    </row>
    <row r="25" spans="4:12" x14ac:dyDescent="0.35">
      <c r="D25" s="1">
        <f t="shared" si="2"/>
        <v>18</v>
      </c>
      <c r="E25" s="1">
        <f t="shared" si="0"/>
        <v>3.8461538461538464E-2</v>
      </c>
      <c r="F25" s="1">
        <v>54.62</v>
      </c>
      <c r="G25" s="1">
        <f t="shared" si="3"/>
        <v>2.3218237052640469</v>
      </c>
      <c r="H25" s="1">
        <f t="shared" si="1"/>
        <v>0.98987878485978031</v>
      </c>
      <c r="I25" s="1">
        <f t="shared" si="4"/>
        <v>1163.0418102430151</v>
      </c>
      <c r="J25" s="1">
        <f t="shared" si="6"/>
        <v>63525.343675473479</v>
      </c>
      <c r="K25" s="1">
        <f>SUM($J$7:J25)+SUM($L$6:L24)</f>
        <v>5196633.497032756</v>
      </c>
      <c r="L25" s="1">
        <f t="shared" si="5"/>
        <v>4999.1660379590467</v>
      </c>
    </row>
    <row r="26" spans="4:12" x14ac:dyDescent="0.35">
      <c r="D26" s="1">
        <f t="shared" si="2"/>
        <v>19</v>
      </c>
      <c r="E26" s="1">
        <f t="shared" si="0"/>
        <v>1.9230769230769232E-2</v>
      </c>
      <c r="F26" s="1">
        <v>55.87</v>
      </c>
      <c r="G26" s="1">
        <f t="shared" si="3"/>
        <v>4.0508625255090598</v>
      </c>
      <c r="H26" s="1">
        <f t="shared" si="1"/>
        <v>0.99997448540849776</v>
      </c>
      <c r="I26" s="1">
        <f t="shared" si="4"/>
        <v>1009.5700548717446</v>
      </c>
      <c r="J26" s="1">
        <f t="shared" si="6"/>
        <v>56404.678965684368</v>
      </c>
      <c r="K26" s="1">
        <f>SUM($J$7:J26)+SUM($L$6:L25)</f>
        <v>5258037.3420363981</v>
      </c>
      <c r="L26" s="1">
        <f t="shared" si="5"/>
        <v>5058.236591369845</v>
      </c>
    </row>
    <row r="27" spans="4:12" x14ac:dyDescent="0.35">
      <c r="D27" s="1">
        <f t="shared" si="2"/>
        <v>20</v>
      </c>
      <c r="E27" s="1">
        <f>0.0000001</f>
        <v>9.9999999999999995E-8</v>
      </c>
      <c r="F27" s="4">
        <v>57.25</v>
      </c>
      <c r="G27" s="1">
        <f t="shared" si="3"/>
        <v>2140.9354041193392</v>
      </c>
      <c r="H27" s="1">
        <f t="shared" si="1"/>
        <v>1</v>
      </c>
      <c r="I27" s="1">
        <f t="shared" si="4"/>
        <v>2.5514591502240336</v>
      </c>
      <c r="J27" s="1">
        <f t="shared" si="6"/>
        <v>146.07103635032593</v>
      </c>
      <c r="K27" s="4">
        <f>SUM($J$7:J27)+SUM($L$6:L26)</f>
        <v>5263241.6496641189</v>
      </c>
      <c r="L27" s="1">
        <f t="shared" si="5"/>
        <v>5063.2431399282068</v>
      </c>
    </row>
    <row r="28" spans="4:12" x14ac:dyDescent="0.35">
      <c r="F28" s="5" t="s">
        <v>16</v>
      </c>
      <c r="I28" s="2">
        <f>SUM(I7:I27)</f>
        <v>99999.999999999985</v>
      </c>
    </row>
    <row r="29" spans="4:12" x14ac:dyDescent="0.35">
      <c r="F29" s="1" t="s">
        <v>17</v>
      </c>
      <c r="J29" s="6" t="s">
        <v>20</v>
      </c>
      <c r="K29" s="7">
        <f>50*100000-K27</f>
        <v>-263241.64966411889</v>
      </c>
      <c r="L29" s="3" t="s">
        <v>21</v>
      </c>
    </row>
    <row r="30" spans="4:12" x14ac:dyDescent="0.35">
      <c r="J30" s="6" t="s">
        <v>19</v>
      </c>
      <c r="K30" s="7">
        <f>100000*BS_Call(B1,B2,B3,B4,B5)</f>
        <v>240052.73232717137</v>
      </c>
      <c r="L30" s="3" t="s">
        <v>22</v>
      </c>
    </row>
    <row r="31" spans="4:12" x14ac:dyDescent="0.35">
      <c r="J31" s="6" t="s">
        <v>18</v>
      </c>
      <c r="K31" s="8">
        <f>SUM(K29:K30)</f>
        <v>-23188.917336947517</v>
      </c>
      <c r="L31" s="3" t="s">
        <v>23</v>
      </c>
    </row>
    <row r="33" spans="11:11" x14ac:dyDescent="0.35">
      <c r="K33" s="2" t="s">
        <v>25</v>
      </c>
    </row>
    <row r="34" spans="11:11" x14ac:dyDescent="0.35">
      <c r="K34" s="1" t="s">
        <v>26</v>
      </c>
    </row>
    <row r="35" spans="11:11" x14ac:dyDescent="0.35">
      <c r="K35" s="1" t="s">
        <v>27</v>
      </c>
    </row>
    <row r="37" spans="11:11" x14ac:dyDescent="0.35">
      <c r="K37" s="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Dynamic Hedging Exercise</vt:lpstr>
      <vt:lpstr>Dynamic Hedging 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 Kai</dc:creator>
  <cp:lastModifiedBy>Shu Kai</cp:lastModifiedBy>
  <dcterms:created xsi:type="dcterms:W3CDTF">2019-06-27T08:39:18Z</dcterms:created>
  <dcterms:modified xsi:type="dcterms:W3CDTF">2019-07-04T17:45:18Z</dcterms:modified>
</cp:coreProperties>
</file>