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filterPrivacy="1" codeName="ThisWorkbook"/>
  <xr:revisionPtr revIDLastSave="0" documentId="13_ncr:1_{0A6B3646-B714-4916-9609-F9C4CD0799F6}" xr6:coauthVersionLast="43" xr6:coauthVersionMax="43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1" l="1"/>
  <c r="I5" i="1"/>
  <c r="F15" i="1"/>
  <c r="E15" i="1"/>
  <c r="H5" i="1"/>
  <c r="F5" i="1"/>
  <c r="F18" i="1"/>
  <c r="F19" i="1"/>
  <c r="F16" i="1"/>
  <c r="F17" i="1"/>
  <c r="E16" i="1"/>
  <c r="E17" i="1"/>
  <c r="E19" i="1"/>
  <c r="E18" i="1"/>
  <c r="F21" i="1" l="1"/>
  <c r="E21" i="1"/>
  <c r="I11" i="1"/>
  <c r="E11" i="1" l="1"/>
  <c r="F11" i="1"/>
  <c r="H11" i="1"/>
</calcChain>
</file>

<file path=xl/sharedStrings.xml><?xml version="1.0" encoding="utf-8"?>
<sst xmlns="http://schemas.openxmlformats.org/spreadsheetml/2006/main" count="27" uniqueCount="19">
  <si>
    <t>Stock Price</t>
  </si>
  <si>
    <t>Strike Price</t>
  </si>
  <si>
    <t>Volatility</t>
  </si>
  <si>
    <t>Risk-free Rate</t>
  </si>
  <si>
    <t>TTM (Yrs)</t>
  </si>
  <si>
    <t>Dividend</t>
  </si>
  <si>
    <t>Call/Put</t>
  </si>
  <si>
    <t>Call</t>
  </si>
  <si>
    <t>Put</t>
  </si>
  <si>
    <t>Simulations</t>
  </si>
  <si>
    <t>Evolution Steps</t>
  </si>
  <si>
    <t>100 N &amp; 100 Nsim</t>
  </si>
  <si>
    <t>Std Dev.</t>
  </si>
  <si>
    <t>100 N &amp; 1000 Nsim</t>
  </si>
  <si>
    <t>1000 N &amp; 100 Nsim</t>
  </si>
  <si>
    <t>As we increase N, the pricing model becomes more "random" &amp; accurate.</t>
  </si>
  <si>
    <t>As we increase Nsim, the pricing model takes more simulations &amp; becomes more accurate.</t>
  </si>
  <si>
    <t>100 Steps &amp; Simulations are Too Little.</t>
  </si>
  <si>
    <t>Maybe try 10 000 for both Yourself?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</si>
</sst>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34"/>
  <sheetViews>
    <sheetView tabSelected="1" workbookViewId="0">
      <selection activeCell="H3" sqref="H3:I3"/>
    </sheetView>
  </sheetViews>
  <sheetFormatPr defaultRowHeight="14.5" x14ac:dyDescent="0.35"/>
  <cols>
    <col min="1" max="1" width="14.1796875" style="3" bestFit="1" customWidth="1"/>
    <col min="2" max="3" width="8.7265625" style="3"/>
    <col min="4" max="4" width="10.36328125" style="3" bestFit="1" customWidth="1"/>
    <col min="5" max="5" width="9.36328125" style="3" bestFit="1" customWidth="1"/>
    <col min="6" max="16384" width="8.7265625" style="3"/>
  </cols>
  <sheetData>
    <row r="1" spans="1:25" x14ac:dyDescent="0.35">
      <c r="A1" s="1" t="s">
        <v>0</v>
      </c>
      <c r="B1" s="2">
        <v>100</v>
      </c>
      <c r="D1" s="11" t="s">
        <v>15</v>
      </c>
    </row>
    <row r="2" spans="1:25" x14ac:dyDescent="0.35">
      <c r="A2" s="1" t="s">
        <v>1</v>
      </c>
      <c r="B2" s="2">
        <v>100</v>
      </c>
      <c r="D2" s="12" t="s">
        <v>16</v>
      </c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</row>
    <row r="3" spans="1:25" x14ac:dyDescent="0.35">
      <c r="A3" s="1" t="s">
        <v>2</v>
      </c>
      <c r="B3" s="2">
        <v>0.2</v>
      </c>
      <c r="D3" s="4"/>
      <c r="E3" s="15" t="s">
        <v>11</v>
      </c>
      <c r="F3" s="15"/>
      <c r="G3" s="4"/>
      <c r="H3" s="14" t="s">
        <v>13</v>
      </c>
      <c r="I3" s="1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</row>
    <row r="4" spans="1:25" x14ac:dyDescent="0.35">
      <c r="A4" s="1" t="s">
        <v>3</v>
      </c>
      <c r="B4" s="2">
        <v>0.05</v>
      </c>
      <c r="D4" s="4"/>
      <c r="E4" s="5" t="s">
        <v>7</v>
      </c>
      <c r="F4" s="5" t="s">
        <v>8</v>
      </c>
      <c r="G4" s="4"/>
      <c r="H4" s="5" t="s">
        <v>7</v>
      </c>
      <c r="I4" s="5" t="s">
        <v>8</v>
      </c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</row>
    <row r="5" spans="1:25" x14ac:dyDescent="0.35">
      <c r="A5" s="1" t="s">
        <v>4</v>
      </c>
      <c r="B5" s="2">
        <v>1</v>
      </c>
      <c r="D5" s="4"/>
      <c r="E5" s="13">
        <f>MCAsian($B$1,$B$2,$B$3,$B$4,$B$5,$B$6,$B$7,$B$8,$B$9)</f>
        <v>7.1156925735513363</v>
      </c>
      <c r="F5" s="13">
        <f>MCAsian($B$1,$B$2,$B$3,$B$4,$B$5,$B$6,$C$7,$B$8,$B$9)</f>
        <v>3.0869533248400471</v>
      </c>
      <c r="G5" s="4"/>
      <c r="H5" s="13">
        <f>MCAsian($B$1,$B$2,$B$3,$B$4,$B$5,$B$6,$B$7,B8,1000)</f>
        <v>5.8439908122562088</v>
      </c>
      <c r="I5" s="13">
        <f>MCAsian($B$1,$B$2,$B$3,$B$4,$B$5,$B$6,$C$7,B8,1000)</f>
        <v>3.6226626364605807</v>
      </c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</row>
    <row r="6" spans="1:25" x14ac:dyDescent="0.35">
      <c r="A6" s="1" t="s">
        <v>5</v>
      </c>
      <c r="B6" s="2">
        <v>0</v>
      </c>
      <c r="D6" s="4"/>
      <c r="E6" s="13">
        <v>5.9916265646828526</v>
      </c>
      <c r="F6" s="13">
        <v>4.4833620803639205</v>
      </c>
      <c r="G6" s="4"/>
      <c r="H6" s="13">
        <v>6.5302154969884212</v>
      </c>
      <c r="I6" s="13">
        <v>3.3820806452790761</v>
      </c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</row>
    <row r="7" spans="1:25" x14ac:dyDescent="0.35">
      <c r="A7" s="1" t="s">
        <v>6</v>
      </c>
      <c r="B7" s="2" t="s">
        <v>7</v>
      </c>
      <c r="C7" s="3" t="s">
        <v>8</v>
      </c>
      <c r="D7" s="4"/>
      <c r="E7" s="13">
        <v>4.2688020266476503</v>
      </c>
      <c r="F7" s="13">
        <v>3.4985666206092332</v>
      </c>
      <c r="G7" s="4"/>
      <c r="H7" s="13">
        <v>6.2135623606203634</v>
      </c>
      <c r="I7" s="13">
        <v>4.0042507493092199</v>
      </c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</row>
    <row r="8" spans="1:25" x14ac:dyDescent="0.35">
      <c r="A8" s="1" t="s">
        <v>10</v>
      </c>
      <c r="B8" s="2">
        <v>100</v>
      </c>
      <c r="D8" s="4"/>
      <c r="E8" s="13">
        <v>5.595550484764436</v>
      </c>
      <c r="F8" s="13">
        <v>2.5659355892764388</v>
      </c>
      <c r="G8" s="4"/>
      <c r="H8" s="13">
        <v>6.3903069905674901</v>
      </c>
      <c r="I8" s="13">
        <v>3.8118611068528909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</row>
    <row r="9" spans="1:25" x14ac:dyDescent="0.35">
      <c r="A9" s="1" t="s">
        <v>9</v>
      </c>
      <c r="B9" s="2">
        <v>100</v>
      </c>
      <c r="D9" s="4"/>
      <c r="E9" s="13">
        <v>4.944723624703065</v>
      </c>
      <c r="F9" s="13">
        <v>2.3739972069744302</v>
      </c>
      <c r="G9" s="4"/>
      <c r="H9" s="13">
        <v>6.212967884436563</v>
      </c>
      <c r="I9" s="13">
        <v>3.6518439126738445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</row>
    <row r="10" spans="1:25" x14ac:dyDescent="0.35">
      <c r="B10" s="7"/>
      <c r="C10" s="7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</row>
    <row r="11" spans="1:25" x14ac:dyDescent="0.35">
      <c r="B11" s="8"/>
      <c r="C11" s="7"/>
      <c r="D11" s="5" t="s">
        <v>12</v>
      </c>
      <c r="E11" s="6">
        <f>_xlfn.STDEV.S(E5:E9)</f>
        <v>1.0782847912447886</v>
      </c>
      <c r="F11" s="6">
        <f>_xlfn.STDEV.S(F5:F9)</f>
        <v>0.84161192925204464</v>
      </c>
      <c r="G11" s="4"/>
      <c r="H11" s="6">
        <f t="shared" ref="H11:I11" si="0">_xlfn.STDEV.S(H5:H9)</f>
        <v>0.25741704649910491</v>
      </c>
      <c r="I11" s="6">
        <f t="shared" si="0"/>
        <v>0.23146552117196756</v>
      </c>
      <c r="J11" s="5" t="s">
        <v>12</v>
      </c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</row>
    <row r="12" spans="1:25" x14ac:dyDescent="0.35">
      <c r="A12" s="11" t="s">
        <v>17</v>
      </c>
      <c r="B12" s="8"/>
      <c r="C12" s="7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</row>
    <row r="13" spans="1:25" x14ac:dyDescent="0.35">
      <c r="A13" s="11" t="s">
        <v>18</v>
      </c>
      <c r="B13" s="8"/>
      <c r="C13" s="7"/>
      <c r="D13" s="4"/>
      <c r="E13" s="14" t="s">
        <v>14</v>
      </c>
      <c r="F13" s="14"/>
      <c r="G13" s="4"/>
      <c r="H13" s="10"/>
      <c r="I13" s="10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</row>
    <row r="14" spans="1:25" x14ac:dyDescent="0.35">
      <c r="B14" s="8"/>
      <c r="C14" s="7"/>
      <c r="D14" s="4"/>
      <c r="E14" s="5" t="s">
        <v>7</v>
      </c>
      <c r="F14" s="5" t="s">
        <v>8</v>
      </c>
      <c r="G14" s="4"/>
      <c r="H14" s="9"/>
      <c r="I14" s="9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</row>
    <row r="15" spans="1:25" x14ac:dyDescent="0.35">
      <c r="B15" s="7"/>
      <c r="C15" s="7"/>
      <c r="D15" s="4"/>
      <c r="E15" s="13">
        <f>MCAsian($B$1,$B$2,$B$3,$B$4,$B$5,$B$6,$B$7,1000,$B$9)</f>
        <v>7.8527493711281586</v>
      </c>
      <c r="F15" s="13">
        <f>MCAsian($B$1,$B$2,$B$3,$B$4,$B$5,$B$6,$C$7,1000,$B$9)</f>
        <v>5.0564952339531981</v>
      </c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</row>
    <row r="16" spans="1:25" x14ac:dyDescent="0.35">
      <c r="B16" s="8"/>
      <c r="C16" s="7"/>
      <c r="D16" s="4"/>
      <c r="E16" s="13">
        <f t="shared" ref="E16:E19" si="1">MCAsian($B$1,$B$2,$B$3,$B$4,$B$5,$B$6,$B$7,1000,$B$9)</f>
        <v>7.0124548535981015</v>
      </c>
      <c r="F16" s="13">
        <f t="shared" ref="F16:F19" si="2">MCAsian($B$1,$B$2,$B$3,$B$4,$B$5,$B$6,$C$7,1000,$B$9)</f>
        <v>4.9892631561151237</v>
      </c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</row>
    <row r="17" spans="2:25" x14ac:dyDescent="0.35">
      <c r="B17" s="7"/>
      <c r="C17" s="7"/>
      <c r="D17" s="4"/>
      <c r="E17" s="13">
        <f t="shared" si="1"/>
        <v>7.8283405958305901</v>
      </c>
      <c r="F17" s="13">
        <f t="shared" si="2"/>
        <v>4.439398459410846</v>
      </c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</row>
    <row r="18" spans="2:25" x14ac:dyDescent="0.35">
      <c r="B18" s="7"/>
      <c r="C18" s="7"/>
      <c r="D18" s="4"/>
      <c r="E18" s="13">
        <f t="shared" si="1"/>
        <v>6.6674318944837436</v>
      </c>
      <c r="F18" s="13">
        <f t="shared" si="2"/>
        <v>5.23853123661236</v>
      </c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</row>
    <row r="19" spans="2:25" x14ac:dyDescent="0.35">
      <c r="B19" s="7"/>
      <c r="C19" s="7"/>
      <c r="D19" s="4"/>
      <c r="E19" s="13">
        <f t="shared" si="1"/>
        <v>7.6510708835181527</v>
      </c>
      <c r="F19" s="13">
        <f t="shared" si="2"/>
        <v>5.7428313751919564</v>
      </c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</row>
    <row r="20" spans="2:25" x14ac:dyDescent="0.35"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</row>
    <row r="21" spans="2:25" x14ac:dyDescent="0.35">
      <c r="D21" s="5" t="s">
        <v>12</v>
      </c>
      <c r="E21" s="6">
        <f>_xlfn.STDEV.S(E15:E19)</f>
        <v>0.53345864142339405</v>
      </c>
      <c r="F21" s="6">
        <f>_xlfn.STDEV.S(F15:F19)</f>
        <v>0.46977350921617428</v>
      </c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</row>
    <row r="22" spans="2:25" x14ac:dyDescent="0.35"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</row>
    <row r="23" spans="2:25" x14ac:dyDescent="0.35"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</row>
    <row r="24" spans="2:25" x14ac:dyDescent="0.35"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</row>
    <row r="25" spans="2:25" x14ac:dyDescent="0.35"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</row>
    <row r="26" spans="2:25" x14ac:dyDescent="0.35"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</row>
    <row r="27" spans="2:25" x14ac:dyDescent="0.35"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</row>
    <row r="28" spans="2:25" x14ac:dyDescent="0.35"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</row>
    <row r="29" spans="2:25" x14ac:dyDescent="0.35"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</row>
    <row r="30" spans="2:25" x14ac:dyDescent="0.35"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</row>
    <row r="31" spans="2:25" x14ac:dyDescent="0.35"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</row>
    <row r="32" spans="2:25" x14ac:dyDescent="0.35"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</row>
    <row r="33" spans="4:25" x14ac:dyDescent="0.35"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</row>
    <row r="34" spans="4:25" x14ac:dyDescent="0.35"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</row>
  </sheetData>
  <mergeCells count="3">
    <mergeCell ref="E3:F3"/>
    <mergeCell ref="H3:I3"/>
    <mergeCell ref="E13:F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2019-07-26T18:06:53Z</dcterms:modified>
</cp:coreProperties>
</file>